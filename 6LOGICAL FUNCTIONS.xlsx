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C8EDA2D1-A188-4BEE-AA14-C8A9FDD1C355}" xr6:coauthVersionLast="47" xr6:coauthVersionMax="47" xr10:uidLastSave="{00000000-0000-0000-0000-000000000000}"/>
  <bookViews>
    <workbookView xWindow="-108" yWindow="-108" windowWidth="23256" windowHeight="13896" firstSheet="11" activeTab="17" xr2:uid="{00000000-000D-0000-FFFF-FFFF00000000}"/>
  </bookViews>
  <sheets>
    <sheet name="LOGISTIC_FUNCTIONS" sheetId="24" r:id="rId1"/>
    <sheet name="Description_IF" sheetId="6" r:id="rId2"/>
    <sheet name="IF" sheetId="4" r:id="rId3"/>
    <sheet name="IF1" sheetId="17" r:id="rId4"/>
    <sheet name="IF2" sheetId="18" r:id="rId5"/>
    <sheet name="Description_IFS" sheetId="22" r:id="rId6"/>
    <sheet name="IFS1" sheetId="20" r:id="rId7"/>
    <sheet name="IFS2" sheetId="21" r:id="rId8"/>
    <sheet name="IFs" sheetId="5" r:id="rId9"/>
    <sheet name="IF&amp;AND" sheetId="2" r:id="rId10"/>
    <sheet name="Description_AND" sheetId="19" r:id="rId11"/>
    <sheet name="IF&amp;AND1" sheetId="26" r:id="rId12"/>
    <sheet name="IF&amp;AND2" sheetId="27" r:id="rId13"/>
    <sheet name="Description_OR" sheetId="25" r:id="rId14"/>
    <sheet name="IF&amp;OR1" sheetId="28" r:id="rId15"/>
    <sheet name="IF&amp;OR2" sheetId="29" r:id="rId16"/>
    <sheet name="IF&amp;OR3" sheetId="30" r:id="rId17"/>
    <sheet name="EXCERCISE1" sheetId="31" r:id="rId18"/>
    <sheet name="EXCERCISE2" sheetId="3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30" l="1"/>
  <c r="D20" i="30"/>
  <c r="D21" i="30"/>
  <c r="D22" i="30"/>
  <c r="D23" i="30"/>
  <c r="D24" i="30"/>
  <c r="D25" i="30"/>
  <c r="D26" i="30"/>
  <c r="D27" i="30"/>
  <c r="D28" i="30"/>
  <c r="D29" i="30"/>
  <c r="D18" i="30"/>
  <c r="B19" i="30"/>
  <c r="B20" i="30"/>
  <c r="B21" i="30"/>
  <c r="B22" i="30"/>
  <c r="B23" i="30"/>
  <c r="B24" i="30"/>
  <c r="B25" i="30"/>
  <c r="B26" i="30"/>
  <c r="B27" i="30"/>
  <c r="B28" i="30"/>
  <c r="B29" i="30"/>
  <c r="B18" i="30"/>
  <c r="E4" i="20" a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W5" i="30"/>
  <c r="W6" i="30"/>
  <c r="W7" i="30"/>
  <c r="W8" i="30"/>
  <c r="W9" i="30"/>
  <c r="W10" i="30"/>
  <c r="W11" i="30"/>
  <c r="W12" i="30"/>
  <c r="W13" i="30"/>
  <c r="W4" i="30"/>
  <c r="U5" i="30"/>
  <c r="U6" i="30"/>
  <c r="U7" i="30"/>
  <c r="U8" i="30"/>
  <c r="U9" i="30"/>
  <c r="U10" i="30"/>
  <c r="U11" i="30"/>
  <c r="U12" i="30"/>
  <c r="U13" i="30"/>
  <c r="U4" i="30"/>
  <c r="I6" i="30"/>
  <c r="I7" i="30"/>
  <c r="I8" i="30"/>
  <c r="I9" i="30"/>
  <c r="I10" i="30"/>
  <c r="I11" i="30"/>
  <c r="I12" i="30"/>
  <c r="I13" i="30"/>
  <c r="I5" i="30"/>
  <c r="I4" i="30"/>
  <c r="G5" i="30"/>
  <c r="G6" i="30"/>
  <c r="G7" i="30"/>
  <c r="G8" i="30"/>
  <c r="G9" i="30"/>
  <c r="G10" i="30"/>
  <c r="G11" i="30"/>
  <c r="G12" i="30"/>
  <c r="G13" i="30"/>
  <c r="G4" i="30"/>
  <c r="H5" i="29"/>
  <c r="H6" i="29"/>
  <c r="H7" i="29"/>
  <c r="H8" i="29"/>
  <c r="H9" i="29"/>
  <c r="H10" i="29"/>
  <c r="H11" i="29"/>
  <c r="H12" i="29"/>
  <c r="H13" i="29"/>
  <c r="H4" i="29"/>
  <c r="G5" i="29"/>
  <c r="G6" i="29"/>
  <c r="G7" i="29"/>
  <c r="G8" i="29"/>
  <c r="G9" i="29"/>
  <c r="G10" i="29"/>
  <c r="G11" i="29"/>
  <c r="G12" i="29"/>
  <c r="G13" i="29"/>
  <c r="G4" i="29"/>
  <c r="G6" i="28"/>
  <c r="G7" i="28"/>
  <c r="G8" i="28"/>
  <c r="G9" i="28"/>
  <c r="G10" i="28"/>
  <c r="G11" i="28"/>
  <c r="G12" i="28"/>
  <c r="G13" i="28"/>
  <c r="G14" i="28"/>
  <c r="G5" i="28"/>
  <c r="V20" i="27"/>
  <c r="V21" i="27"/>
  <c r="V22" i="27"/>
  <c r="V23" i="27"/>
  <c r="V24" i="27"/>
  <c r="V25" i="27"/>
  <c r="V26" i="27"/>
  <c r="V27" i="27"/>
  <c r="V28" i="27"/>
  <c r="V29" i="27"/>
  <c r="V30" i="27"/>
  <c r="V31" i="27"/>
  <c r="V19" i="27"/>
  <c r="S20" i="27"/>
  <c r="S21" i="27"/>
  <c r="S22" i="27"/>
  <c r="S23" i="27"/>
  <c r="S24" i="27"/>
  <c r="S25" i="27"/>
  <c r="S26" i="27"/>
  <c r="S27" i="27"/>
  <c r="S28" i="27"/>
  <c r="S29" i="27"/>
  <c r="S19" i="27"/>
  <c r="O19" i="27"/>
  <c r="O21" i="27"/>
  <c r="O22" i="27"/>
  <c r="O23" i="27"/>
  <c r="O24" i="27"/>
  <c r="O25" i="27"/>
  <c r="O26" i="27"/>
  <c r="O27" i="27"/>
  <c r="O28" i="27"/>
  <c r="O29" i="27"/>
  <c r="O20" i="27"/>
  <c r="O11" i="27"/>
  <c r="O12" i="27"/>
  <c r="O13" i="27"/>
  <c r="O14" i="27"/>
  <c r="O15" i="27"/>
  <c r="O16" i="27"/>
  <c r="O17" i="27"/>
  <c r="O18" i="27"/>
  <c r="O5" i="27"/>
  <c r="O6" i="27"/>
  <c r="O7" i="27"/>
  <c r="O8" i="27"/>
  <c r="O9" i="27"/>
  <c r="O10" i="27"/>
  <c r="O4" i="27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4" i="26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5" a="1"/>
  <c r="I4" i="5" a="1"/>
  <c r="I5" i="5" a="1"/>
  <c r="I6" i="5" a="1"/>
  <c r="I7" i="5" a="1"/>
  <c r="I8" i="5" a="1"/>
  <c r="I9" i="5" a="1"/>
  <c r="I10" i="5" a="1"/>
  <c r="I11" i="5" a="1"/>
  <c r="I12" i="5" a="1"/>
  <c r="I13" i="5" a="1"/>
  <c r="I14" i="5" a="1"/>
  <c r="I15" i="5" a="1"/>
  <c r="I16" i="5" a="1"/>
  <c r="I17" i="5" a="1"/>
  <c r="I18" i="5" a="1"/>
  <c r="I19" i="5" a="1"/>
  <c r="I20" i="5" a="1"/>
  <c r="I21" i="5" a="1"/>
  <c r="I2" i="5" a="1"/>
  <c r="F6" i="21" a="1"/>
  <c r="F7" i="21" a="1"/>
  <c r="F8" i="21" a="1"/>
  <c r="F9" i="21" a="1"/>
  <c r="F10" i="21" a="1"/>
  <c r="F11" i="21" a="1"/>
  <c r="F12" i="21" a="1"/>
  <c r="F13" i="21" a="1"/>
  <c r="F14" i="21" a="1"/>
  <c r="F5" i="21" a="1"/>
  <c r="E5" i="20" a="1"/>
  <c r="E6" i="20" a="1"/>
  <c r="E7" i="20" a="1"/>
  <c r="E8" i="20" a="1"/>
  <c r="E9" i="20" a="1"/>
  <c r="E10" i="20" a="1"/>
  <c r="E11" i="20" a="1"/>
  <c r="E12" i="20" a="1"/>
  <c r="E13" i="20" a="1"/>
  <c r="E14" i="20" a="1"/>
  <c r="E15" i="20" a="1"/>
  <c r="E16" i="20" a="1"/>
  <c r="E17" i="20" a="1"/>
  <c r="E18" i="20" a="1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4" i="18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4" i="17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G2" i="5"/>
  <c r="G21" i="5" l="1"/>
  <c r="F21" i="5"/>
  <c r="H21" i="5" s="1" a="1"/>
  <c r="G20" i="5"/>
  <c r="F20" i="5"/>
  <c r="H20" i="5" s="1" a="1"/>
  <c r="G19" i="5"/>
  <c r="F19" i="5"/>
  <c r="H19" i="5" s="1" a="1"/>
  <c r="G18" i="5"/>
  <c r="F18" i="5"/>
  <c r="H18" i="5" s="1" a="1"/>
  <c r="G17" i="5"/>
  <c r="F17" i="5"/>
  <c r="H17" i="5" s="1" a="1"/>
  <c r="G16" i="5"/>
  <c r="F16" i="5"/>
  <c r="H16" i="5" s="1" a="1"/>
  <c r="G15" i="5"/>
  <c r="F15" i="5"/>
  <c r="H15" i="5" s="1" a="1"/>
  <c r="G14" i="5"/>
  <c r="F14" i="5"/>
  <c r="H14" i="5" s="1" a="1"/>
  <c r="G13" i="5"/>
  <c r="F13" i="5"/>
  <c r="H13" i="5" s="1" a="1"/>
  <c r="G12" i="5"/>
  <c r="F12" i="5"/>
  <c r="H12" i="5" s="1" a="1"/>
  <c r="G11" i="5"/>
  <c r="F11" i="5"/>
  <c r="H11" i="5" s="1" a="1"/>
  <c r="G10" i="5"/>
  <c r="F10" i="5"/>
  <c r="H10" i="5" s="1" a="1"/>
  <c r="G9" i="5"/>
  <c r="F9" i="5"/>
  <c r="H9" i="5" s="1" a="1"/>
  <c r="G8" i="5"/>
  <c r="F8" i="5"/>
  <c r="H8" i="5" s="1" a="1"/>
  <c r="G7" i="5"/>
  <c r="F7" i="5"/>
  <c r="H7" i="5" s="1" a="1"/>
  <c r="G6" i="5"/>
  <c r="F6" i="5"/>
  <c r="H6" i="5" s="1" a="1"/>
  <c r="G5" i="5"/>
  <c r="F5" i="5"/>
  <c r="H5" i="5" s="1" a="1"/>
  <c r="G4" i="5"/>
  <c r="F4" i="5"/>
  <c r="H4" i="5" s="1" a="1"/>
  <c r="G3" i="5"/>
  <c r="F3" i="5"/>
  <c r="H3" i="5" s="1" a="1"/>
  <c r="F2" i="5"/>
  <c r="H2" i="5" s="1" a="1"/>
  <c r="F21" i="4" l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<sst xmlns="http://schemas.openxmlformats.org/spreadsheetml/2006/main" count="1037" uniqueCount="265">
  <si>
    <t>Sara</t>
  </si>
  <si>
    <t>Student ID</t>
  </si>
  <si>
    <t>Student Name</t>
  </si>
  <si>
    <t>Math Score</t>
  </si>
  <si>
    <t>English Score</t>
  </si>
  <si>
    <t>Science Score</t>
  </si>
  <si>
    <t>Total score</t>
  </si>
  <si>
    <t>Grade</t>
  </si>
  <si>
    <t>S001</t>
  </si>
  <si>
    <t>David</t>
  </si>
  <si>
    <t>Mark</t>
  </si>
  <si>
    <t>S002</t>
  </si>
  <si>
    <t>Alice</t>
  </si>
  <si>
    <t>S003</t>
  </si>
  <si>
    <t>Emma</t>
  </si>
  <si>
    <t>A+</t>
  </si>
  <si>
    <t>&gt;=225</t>
  </si>
  <si>
    <t>S004</t>
  </si>
  <si>
    <t>B+</t>
  </si>
  <si>
    <t>&gt;=180,&lt;225</t>
  </si>
  <si>
    <t>S005</t>
  </si>
  <si>
    <t>Michael</t>
  </si>
  <si>
    <t>C+</t>
  </si>
  <si>
    <t>&gt;=120,&lt;180</t>
  </si>
  <si>
    <t>S006</t>
  </si>
  <si>
    <t>D+</t>
  </si>
  <si>
    <t>&gt;=80,&lt;120</t>
  </si>
  <si>
    <t>S007</t>
  </si>
  <si>
    <t>Eve</t>
  </si>
  <si>
    <t>E+</t>
  </si>
  <si>
    <t>&gt;=50,&lt;80</t>
  </si>
  <si>
    <t>S008</t>
  </si>
  <si>
    <t>FAIL</t>
  </si>
  <si>
    <t>&gt;=0,&lt;50</t>
  </si>
  <si>
    <t>S009</t>
  </si>
  <si>
    <t>S010</t>
  </si>
  <si>
    <t>John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</si>
  <si>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</si>
  <si>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</si>
  <si>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</si>
  <si>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</si>
  <si>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</si>
  <si>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</si>
  <si>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</si>
  <si>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</si>
  <si>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</si>
  <si>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</si>
  <si>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Pass/Fail</t>
  </si>
  <si>
    <t>PASS</t>
  </si>
  <si>
    <t>&lt;150</t>
  </si>
  <si>
    <t>IFS</t>
  </si>
  <si>
    <t>Good/Average</t>
  </si>
  <si>
    <t>Status</t>
  </si>
  <si>
    <t>Priya</t>
  </si>
  <si>
    <t>Shipment ID</t>
  </si>
  <si>
    <t>Origin</t>
  </si>
  <si>
    <t>Destination</t>
  </si>
  <si>
    <t>Transport Mode</t>
  </si>
  <si>
    <t>Cost (₹)</t>
  </si>
  <si>
    <t>Delivery Days</t>
  </si>
  <si>
    <t>Delivery Status</t>
  </si>
  <si>
    <t>Urgent</t>
  </si>
  <si>
    <t>T001</t>
  </si>
  <si>
    <t>Cochin</t>
  </si>
  <si>
    <t>Mumbai</t>
  </si>
  <si>
    <t>Road</t>
  </si>
  <si>
    <t>Delivered</t>
  </si>
  <si>
    <t>Yes</t>
  </si>
  <si>
    <t>T002</t>
  </si>
  <si>
    <t>Delhi</t>
  </si>
  <si>
    <t>Kolkata</t>
  </si>
  <si>
    <t>Rail</t>
  </si>
  <si>
    <t>Pending</t>
  </si>
  <si>
    <t>No</t>
  </si>
  <si>
    <t>T003</t>
  </si>
  <si>
    <t>Bangalore</t>
  </si>
  <si>
    <t>Chennai</t>
  </si>
  <si>
    <t>T004</t>
  </si>
  <si>
    <t>Hyderabad</t>
  </si>
  <si>
    <t>Air</t>
  </si>
  <si>
    <t>T005</t>
  </si>
  <si>
    <t>Cancelled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</si>
  <si>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</si>
  <si>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</si>
  <si>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</si>
  <si>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</si>
  <si>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</si>
  <si>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</si>
  <si>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</si>
  <si>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</si>
  <si>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</si>
  <si>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</si>
  <si>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Transportation Manager Shipment_Data</t>
  </si>
  <si>
    <t xml:space="preserve">High/Normal Cost
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</si>
  <si>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 xml:space="preserve">IF cost is more than ₹10,000, mark as </t>
    </r>
    <r>
      <rPr>
        <b/>
        <sz val="11"/>
        <color theme="1"/>
        <rFont val="Calibri"/>
        <family val="2"/>
        <scheme val="minor"/>
      </rPr>
      <t>“High Cost”</t>
    </r>
    <r>
      <rPr>
        <sz val="11"/>
        <color theme="1"/>
        <rFont val="Calibri"/>
        <family val="2"/>
        <scheme val="minor"/>
      </rPr>
      <t xml:space="preserve">, else </t>
    </r>
    <r>
      <rPr>
        <b/>
        <sz val="11"/>
        <color theme="1"/>
        <rFont val="Calibri"/>
        <family val="2"/>
        <scheme val="minor"/>
      </rPr>
      <t>“Normal Cost”</t>
    </r>
  </si>
  <si>
    <t xml:space="preserve">Delayed/On Time
</t>
  </si>
  <si>
    <r>
      <t xml:space="preserve">If Delivery Days ≤ 3 → </t>
    </r>
    <r>
      <rPr>
        <sz val="10"/>
        <color theme="1"/>
        <rFont val="Arial Unicode MS"/>
        <family val="2"/>
      </rPr>
      <t>"Fast"</t>
    </r>
  </si>
  <si>
    <r>
      <t xml:space="preserve">If Delivery Days ≤ 5 → </t>
    </r>
    <r>
      <rPr>
        <sz val="10"/>
        <color theme="1"/>
        <rFont val="Arial Unicode MS"/>
        <family val="2"/>
      </rPr>
      <t>"Normal"</t>
    </r>
  </si>
  <si>
    <r>
      <t xml:space="preserve">If Delivery Days ≤ 7 → </t>
    </r>
    <r>
      <rPr>
        <sz val="10"/>
        <color theme="1"/>
        <rFont val="Arial Unicode MS"/>
        <family val="2"/>
      </rPr>
      <t>"Slow"</t>
    </r>
  </si>
  <si>
    <r>
      <t xml:space="preserve">If Delivery Days &gt; 7 → </t>
    </r>
    <r>
      <rPr>
        <sz val="10"/>
        <color theme="1"/>
        <rFont val="Arial Unicode MS"/>
        <family val="2"/>
      </rPr>
      <t>"Delayed"</t>
    </r>
  </si>
  <si>
    <t>Shipment Status Data</t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</si>
  <si>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 xml:space="preserve">Using the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function, categorize the delivery status based on the number of delivery days as follows:</t>
    </r>
  </si>
  <si>
    <t>Cost Category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</si>
  <si>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</si>
  <si>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</si>
  <si>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</si>
  <si>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</si>
  <si>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</si>
  <si>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</si>
  <si>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</si>
  <si>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</si>
  <si>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</si>
  <si>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</si>
  <si>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r>
      <t xml:space="preserve">Cost ≤ ₹8000 → </t>
    </r>
    <r>
      <rPr>
        <sz val="10"/>
        <color theme="1"/>
        <rFont val="Arial Unicode MS"/>
        <family val="2"/>
      </rPr>
      <t>"Low"</t>
    </r>
  </si>
  <si>
    <r>
      <t xml:space="preserve">Cost ≤ ₹12000 → </t>
    </r>
    <r>
      <rPr>
        <sz val="10"/>
        <color theme="1"/>
        <rFont val="Arial Unicode MS"/>
        <family val="2"/>
      </rPr>
      <t>"Medium"</t>
    </r>
  </si>
  <si>
    <r>
      <t xml:space="preserve">Cost ≤ ₹18000 → </t>
    </r>
    <r>
      <rPr>
        <sz val="10"/>
        <color theme="1"/>
        <rFont val="Arial Unicode MS"/>
        <family val="2"/>
      </rPr>
      <t>"High"</t>
    </r>
  </si>
  <si>
    <r>
      <t xml:space="preserve">Cost &gt; ₹18000 → </t>
    </r>
    <r>
      <rPr>
        <sz val="10"/>
        <color theme="1"/>
        <rFont val="Arial Unicode MS"/>
        <family val="2"/>
      </rPr>
      <t>"Very High"</t>
    </r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</si>
  <si>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 xml:space="preserve">Use the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function to classify transport cost as:</t>
    </r>
  </si>
  <si>
    <t>Transport  Cost Analysis</t>
  </si>
  <si>
    <t>1. IF()</t>
  </si>
  <si>
    <t>3.AND()</t>
  </si>
  <si>
    <t>4.IF&amp;AND()</t>
  </si>
  <si>
    <t>5.OR</t>
  </si>
  <si>
    <t>6.IF&amp;OR</t>
  </si>
  <si>
    <t>2.IFS()</t>
  </si>
  <si>
    <t>Region</t>
  </si>
  <si>
    <t>Supplier</t>
  </si>
  <si>
    <t>Product Type</t>
  </si>
  <si>
    <t>Weight (kg)</t>
  </si>
  <si>
    <t>North</t>
  </si>
  <si>
    <t>SpeedLog</t>
  </si>
  <si>
    <t>Fragile</t>
  </si>
  <si>
    <t>South</t>
  </si>
  <si>
    <t>Prime Supply</t>
  </si>
  <si>
    <t>Regular</t>
  </si>
  <si>
    <t>East</t>
  </si>
  <si>
    <t>QuickMove</t>
  </si>
  <si>
    <t>Delayed</t>
  </si>
  <si>
    <t>West</t>
  </si>
  <si>
    <t>Heavy</t>
  </si>
  <si>
    <t>ShipFast</t>
  </si>
  <si>
    <t>Patna</t>
  </si>
  <si>
    <t>Ahmedabad</t>
  </si>
  <si>
    <t>Jaipur</t>
  </si>
  <si>
    <t>Guwahati</t>
  </si>
  <si>
    <t>Pune</t>
  </si>
  <si>
    <t>Ranchi</t>
  </si>
  <si>
    <t>Chandigarh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</si>
  <si>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region is "North" AND the delivery status is "Pending", return "Follow Up", else "OK".</t>
    </r>
  </si>
  <si>
    <t xml:space="preserve">Follow Up/Ok
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</si>
  <si>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transport mode is "Air" AND the delivery days &gt; 5, return "Check Delay", else "On Schedule".</t>
    </r>
  </si>
  <si>
    <t>Delay/
On Scheduled</t>
  </si>
  <si>
    <t>1. If the supplier is "SpeedLog" AND the cost &gt; ₹15,000, return "High Priority", else "Normal".</t>
  </si>
  <si>
    <t>2. If the product type is "Fragile" AND the delivery status is not "Delivered", return "Handle with Care", else "Safe".</t>
  </si>
  <si>
    <t>3. If the shipment is "Urgent" AND delivery days &gt; 4, return "Escalate", else "No Action".</t>
  </si>
  <si>
    <t>4. If the destination is "Delhi" AND the transport mode is not "Rail", return "Alternate Route", else "Standard".</t>
  </si>
  <si>
    <t>5. If the shipment cost is between ₹8,000 and ₹12,000 AND transport mode is "Road", return "Budget Road", else "Outlier".</t>
  </si>
  <si>
    <t>6. If the supplier is not "Prime Supply" AND the delivery status is "Cancelled", return "Vendor Review", else "Clear".</t>
  </si>
  <si>
    <t>7. If the weight is over 50kg AND the product is not fragile, return "Heavy Load", else "Standard Load".</t>
  </si>
  <si>
    <t>8. If delivery is "Delayed" AND the region is "East", return "Zone Alert", else "OK".</t>
  </si>
  <si>
    <t>Questions:</t>
  </si>
  <si>
    <t>Shipment_Summary_Report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</si>
  <si>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</si>
  <si>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</si>
  <si>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</si>
  <si>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</si>
  <si>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</si>
  <si>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</si>
  <si>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</si>
  <si>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</si>
  <si>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</si>
  <si>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</si>
  <si>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transport mode is "Air" OR the supplier is "ShipFast", return "High Priority", else "Standard".</t>
    </r>
  </si>
  <si>
    <t>Regional_Shipment_Status</t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</si>
  <si>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>If the region is "East" OR "West", return "Check Route", else "Clear".</t>
    </r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</si>
  <si>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>If the delivery status is "Pending" OR "Cancelled", return "Not Complete", else "Complete".</t>
    </r>
  </si>
  <si>
    <t>1. If the supplier is "Prime Supply" OR "QuickMove", return "External Vendor", else "In-House".</t>
  </si>
  <si>
    <t>2. If the transport mode is "Air" OR the delivery status is "Cancelled", return "Needs Review", else "Normal".</t>
  </si>
  <si>
    <t>3. If the region is "South" OR supplier is "ShipFast", return "Priority Watch", else "Standard".</t>
  </si>
  <si>
    <t>4. If the shipment is from "North" OR "Air" is used as the transport mode, return "Fast Track", else "Regular Flow".</t>
  </si>
  <si>
    <t>5. If the delivery status is not "Delivered" OR the supplier is not "SpeedLog", return "Investigate", else "Cleared".</t>
  </si>
  <si>
    <t>6. If transport mode is "Road" OR supplier is "Prime Supply", return "Economy Shipping", else "Express Shipping".</t>
  </si>
  <si>
    <t>7. If the region is "North" OR delivery status is "Cancelled", return "Manager Attention", else "No Action".</t>
  </si>
  <si>
    <t>8. If the supplier is "SpeedLog" OR "ShipFast", return "Trusted Partner", else "Others".</t>
  </si>
  <si>
    <t>Order ID</t>
  </si>
  <si>
    <t>Item Category</t>
  </si>
  <si>
    <t>Cost per Unit (₹)</t>
  </si>
  <si>
    <t>Quantity</t>
  </si>
  <si>
    <t>PO001</t>
  </si>
  <si>
    <t>Alpha Traders</t>
  </si>
  <si>
    <t>Electronics</t>
  </si>
  <si>
    <t>PO002</t>
  </si>
  <si>
    <t>Beta Logistics</t>
  </si>
  <si>
    <t>Furniture</t>
  </si>
  <si>
    <t>PO003</t>
  </si>
  <si>
    <t>Delta Suppliers</t>
  </si>
  <si>
    <t>Stationery</t>
  </si>
  <si>
    <t>PO004</t>
  </si>
  <si>
    <t>PO005</t>
  </si>
  <si>
    <t>PO006</t>
  </si>
  <si>
    <t>PO007</t>
  </si>
  <si>
    <t>PO008</t>
  </si>
  <si>
    <t>PO009</t>
  </si>
  <si>
    <t>PO010</t>
  </si>
  <si>
    <t>Procurement_Order_Status_Data</t>
  </si>
  <si>
    <t>1. If the status is "Delivered", return "Complete", else "In Progress".</t>
  </si>
  <si>
    <t>2. If the cost per unit is greater than ₹2000, return "High Value", else "Regular".</t>
  </si>
  <si>
    <t>3. If the item category is "Furniture" AND the quantity is more than 5, return "Bulk Furniture", else "Normal".</t>
  </si>
  <si>
    <t>4. If the supplier is "Prime Supply" AND status is "Pending", return "Follow Up", else "Clear".</t>
  </si>
  <si>
    <t>5. If the item category is "Electronics" OR delivery days are more than 6, return "Priority Review", else "OK".</t>
  </si>
  <si>
    <t>6. If the status is "Cancelled" OR urgent is "Yes", return "Escalate", else "No Action".</t>
  </si>
  <si>
    <t>If delivery days ≤ 3 → "Fast"</t>
  </si>
  <si>
    <t>If delivery days ≤ 5 → "Moderate"</t>
  </si>
  <si>
    <t>If delivery days ≤ 7 → "Slow"</t>
  </si>
  <si>
    <r>
      <t xml:space="preserve">8. Use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to label cost range:</t>
    </r>
  </si>
  <si>
    <t>Cost per unit ≤ ₹500 → "Low Cost"</t>
  </si>
  <si>
    <t>Cost per unit ≤ ₹1500 → "Medium Cost"</t>
  </si>
  <si>
    <t>Cost per unit &gt; ₹1500 → "High Cost"</t>
  </si>
  <si>
    <t xml:space="preserve">✅ </t>
  </si>
  <si>
    <t>7. Classify delivery speed:</t>
  </si>
  <si>
    <t>Vehicle ID</t>
  </si>
  <si>
    <t>Vehicle Type</t>
  </si>
  <si>
    <t>Mileage (km)</t>
  </si>
  <si>
    <t>Last Service (Days Ago)</t>
  </si>
  <si>
    <t>Fuel Type</t>
  </si>
  <si>
    <t>Condition</t>
  </si>
  <si>
    <t>Assigned Driver</t>
  </si>
  <si>
    <t>V001</t>
  </si>
  <si>
    <t>Truck</t>
  </si>
  <si>
    <t>Diesel</t>
  </si>
  <si>
    <t>Poor</t>
  </si>
  <si>
    <t>V002</t>
  </si>
  <si>
    <t>Van</t>
  </si>
  <si>
    <t>Petrol</t>
  </si>
  <si>
    <t>Good</t>
  </si>
  <si>
    <t>V003</t>
  </si>
  <si>
    <t>Lorry</t>
  </si>
  <si>
    <t>Average</t>
  </si>
  <si>
    <t>Ahmed</t>
  </si>
  <si>
    <t>V004</t>
  </si>
  <si>
    <t>Pickup</t>
  </si>
  <si>
    <t>Swetha</t>
  </si>
  <si>
    <t>V005</t>
  </si>
  <si>
    <t>V006</t>
  </si>
  <si>
    <t>V007</t>
  </si>
  <si>
    <t>V008</t>
  </si>
  <si>
    <t>V009</t>
  </si>
  <si>
    <t>V010</t>
  </si>
  <si>
    <t>Fleet Vehicle Maintenance Tracker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</si>
  <si>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"Service Due"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"Yes"</t>
    </r>
    <r>
      <rPr>
        <sz val="11"/>
        <color theme="1"/>
        <rFont val="Calibri"/>
        <family val="2"/>
        <scheme val="minor"/>
      </rPr>
      <t xml:space="preserve"> if the </t>
    </r>
    <r>
      <rPr>
        <b/>
        <sz val="11"/>
        <color theme="1"/>
        <rFont val="Calibri"/>
        <family val="2"/>
        <scheme val="minor"/>
      </rPr>
      <t>Last Service (Days Ago)</t>
    </r>
    <r>
      <rPr>
        <sz val="11"/>
        <color theme="1"/>
        <rFont val="Calibri"/>
        <family val="2"/>
        <scheme val="minor"/>
      </rPr>
      <t xml:space="preserve"> is greater than 180 days, else </t>
    </r>
    <r>
      <rPr>
        <sz val="10"/>
        <color theme="1"/>
        <rFont val="Arial Unicode MS"/>
        <family val="2"/>
      </rPr>
      <t>"No"</t>
    </r>
    <r>
      <rPr>
        <sz val="11"/>
        <color theme="1"/>
        <rFont val="Calibri"/>
        <family val="2"/>
        <scheme val="minor"/>
      </rPr>
      <t>.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</si>
  <si>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"Critical Maintenance"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"Critical"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</si>
  <si>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Condition is </t>
    </r>
    <r>
      <rPr>
        <sz val="10"/>
        <color theme="1"/>
        <rFont val="Arial Unicode MS"/>
        <family val="2"/>
      </rPr>
      <t>"Poor"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</si>
  <si>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t>Last Service &gt; 180 days</t>
  </si>
  <si>
    <r>
      <t xml:space="preserve">Else return </t>
    </r>
    <r>
      <rPr>
        <sz val="10"/>
        <color theme="1"/>
        <rFont val="Arial Unicode MS"/>
        <family val="2"/>
      </rPr>
      <t>"Normal"</t>
    </r>
    <r>
      <rPr>
        <sz val="11"/>
        <color theme="1"/>
        <rFont val="Calibri"/>
        <family val="2"/>
        <scheme val="minor"/>
      </rPr>
      <t>.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</si>
  <si>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"Mileage Category"</t>
    </r>
    <r>
      <rPr>
        <sz val="11"/>
        <color theme="1"/>
        <rFont val="Calibri"/>
        <family val="2"/>
        <scheme val="minor"/>
      </rPr>
      <t>:</t>
    </r>
  </si>
  <si>
    <r>
      <t xml:space="preserve">If Mileage &lt; 50,000 → </t>
    </r>
    <r>
      <rPr>
        <sz val="10"/>
        <color theme="1"/>
        <rFont val="Arial Unicode MS"/>
        <family val="2"/>
      </rPr>
      <t>"Low"</t>
    </r>
  </si>
  <si>
    <r>
      <t xml:space="preserve">If Mileage between 50,000 and 150,000 → </t>
    </r>
    <r>
      <rPr>
        <sz val="10"/>
        <color theme="1"/>
        <rFont val="Arial Unicode MS"/>
        <family val="2"/>
      </rPr>
      <t>"Medium"</t>
    </r>
  </si>
  <si>
    <r>
      <t xml:space="preserve">If Mileage &gt; 150,000 → </t>
    </r>
    <r>
      <rPr>
        <sz val="10"/>
        <color theme="1"/>
        <rFont val="Arial Unicode MS"/>
        <family val="2"/>
      </rPr>
      <t>"High"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</si>
  <si>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"Fuel Check"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"Check Needed"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</si>
  <si>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Fuel Type is </t>
    </r>
    <r>
      <rPr>
        <sz val="10"/>
        <color theme="1"/>
        <rFont val="Arial Unicode MS"/>
        <family val="2"/>
      </rPr>
      <t>"Diesel"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</si>
  <si>
    <r>
      <t xml:space="preserve">Condition is </t>
    </r>
    <r>
      <rPr>
        <sz val="10"/>
        <color theme="1"/>
        <rFont val="Arial Unicode MS"/>
        <family val="2"/>
      </rPr>
      <t>"Poor"</t>
    </r>
  </si>
  <si>
    <r>
      <t xml:space="preserve">Else return </t>
    </r>
    <r>
      <rPr>
        <sz val="10"/>
        <color theme="1"/>
        <rFont val="Arial Unicode MS"/>
        <family val="2"/>
      </rPr>
      <t>"OK"</t>
    </r>
    <r>
      <rPr>
        <sz val="11"/>
        <color theme="1"/>
        <rFont val="Calibri"/>
        <family val="2"/>
        <scheme val="minor"/>
      </rPr>
      <t>.</t>
    </r>
  </si>
  <si>
    <r>
      <t xml:space="preserve">                                                                                   </t>
    </r>
    <r>
      <rPr>
        <b/>
        <sz val="24"/>
        <color theme="1"/>
        <rFont val="Calibri"/>
        <family val="2"/>
        <scheme val="minor"/>
      </rPr>
      <t>LOGICAL FUNCTIONS</t>
    </r>
  </si>
  <si>
    <t>&gt;=150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</si>
  <si>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delivery days &gt;= 5, mark “Delayed”, else “On Time”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</si>
</sst>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3" fontId="0" fillId="2" borderId="1" xfId="0" applyNumberFormat="1" applyFill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10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3" fontId="0" fillId="0" borderId="1" xfId="0" applyNumberFormat="1" applyBorder="1">
      <alignment vertical="center"/>
    </xf>
    <xf numFmtId="0" fontId="6" fillId="3" borderId="1" xfId="0" applyFon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15" fillId="0" borderId="0" xfId="0" applyFont="1">
      <alignment vertical="center"/>
    </xf>
    <xf numFmtId="0" fontId="15" fillId="4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" fillId="2" borderId="1" xfId="0" applyFont="1" applyFill="1" applyBorder="1">
      <alignment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4</xdr:row>
      <xdr:rowOff>9525</xdr:rowOff>
    </xdr:from>
    <xdr:to>
      <xdr:col>14</xdr:col>
      <xdr:colOff>466725</xdr:colOff>
      <xdr:row>17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E209A5-1C3D-407D-8344-879296806427}"/>
            </a:ext>
          </a:extLst>
        </xdr:cNvPr>
        <xdr:cNvSpPr txBox="1"/>
      </xdr:nvSpPr>
      <xdr:spPr>
        <a:xfrm>
          <a:off x="2809874" y="771525"/>
          <a:ext cx="6191251" cy="250507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1. IF Function</a:t>
          </a:r>
        </a:p>
        <a:p>
          <a:r>
            <a:rPr lang="en-IN" sz="1800" b="1"/>
            <a:t>Description</a:t>
          </a:r>
          <a:r>
            <a:rPr lang="en-IN" sz="1800"/>
            <a:t>: The IF function is used to perform logical tests and return different values based on whether the condition is TRUE or FALSE.</a:t>
          </a:r>
        </a:p>
        <a:p>
          <a:r>
            <a:rPr lang="en-IN" sz="1800" b="1"/>
            <a:t>Syntax</a:t>
          </a:r>
          <a:r>
            <a:rPr lang="en-IN" sz="1800"/>
            <a:t>: IF(logical_test, value_if_true, value_if_false)</a:t>
          </a:r>
        </a:p>
        <a:p>
          <a:r>
            <a:rPr lang="en-IN" sz="1800" b="1"/>
            <a:t>Example</a:t>
          </a:r>
          <a:r>
            <a:rPr lang="en-IN" sz="1800"/>
            <a:t>: =IF(A1&gt;80, "Pass", "Fail") checks if the value in A1 is greater than 80. If true, it returns "Pass"; otherwise, it returns "Fail".</a:t>
          </a:r>
        </a:p>
        <a:p>
          <a:endParaRPr lang="en-IN" sz="1800"/>
        </a:p>
        <a:p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4</xdr:row>
      <xdr:rowOff>47625</xdr:rowOff>
    </xdr:from>
    <xdr:to>
      <xdr:col>14</xdr:col>
      <xdr:colOff>438150</xdr:colOff>
      <xdr:row>16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5DD205-534D-43CA-9977-EEBCF51DAD72}"/>
            </a:ext>
          </a:extLst>
        </xdr:cNvPr>
        <xdr:cNvSpPr txBox="1"/>
      </xdr:nvSpPr>
      <xdr:spPr>
        <a:xfrm>
          <a:off x="2962275" y="809625"/>
          <a:ext cx="6010275" cy="2419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IFS Function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IFS function allows you to test multiple conditions and return a value corresponding to the first TRUE condition.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IFS(condition1, value1, [condition2, value2], ...)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=IFS(A1&gt;=90, "A", A1&gt;=80, "B", A1&gt;=70, "C", TRUE, "D") assigns grades based on the value in A1.</a:t>
          </a:r>
          <a:endParaRPr lang="en-IN" sz="2000">
            <a:effectLst/>
          </a:endParaRPr>
        </a:p>
        <a:p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Would you like examples or further clarification on how to use these functions in Excel?</a:t>
          </a:r>
          <a:endParaRPr lang="en-IN" sz="2000">
            <a:effectLst/>
          </a:endParaRPr>
        </a:p>
        <a:p>
          <a:endParaRPr lang="en-IN" sz="2000"/>
        </a:p>
        <a:p>
          <a:endParaRPr lang="en-I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19051</xdr:colOff>
      <xdr:row>2</xdr:row>
      <xdr:rowOff>180975</xdr:rowOff>
    </xdr:from>
    <xdr:to>
      <xdr:col>12</xdr:col>
      <xdr:colOff>57151</xdr:colOff>
      <xdr:row>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7752B7-EF9E-A519-EF75-C616313920C1}"/>
            </a:ext>
          </a:extLst>
        </xdr:cNvPr>
        <xdr:cNvSpPr txBox="1"/>
      </xdr:nvSpPr>
      <xdr:spPr>
        <a:xfrm>
          <a:off x="7448551" y="561975"/>
          <a:ext cx="19812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English&gt;50&amp;Maths&gt;50</a:t>
          </a:r>
          <a:r>
            <a:rPr lang="en-IN" sz="1100" kern="1200" baseline="0"/>
            <a:t> -</a:t>
          </a:r>
          <a:r>
            <a:rPr lang="en-IN" sz="1100" kern="1200"/>
            <a:t>Good </a:t>
          </a:r>
        </a:p>
        <a:p>
          <a:r>
            <a:rPr lang="en-IN" sz="1100" kern="1200"/>
            <a:t>Other vise-</a:t>
          </a:r>
          <a:r>
            <a:rPr lang="en-IN" sz="1100" kern="1200" baseline="0"/>
            <a:t> A</a:t>
          </a:r>
          <a:r>
            <a:rPr lang="en-IN" sz="1100" kern="1200"/>
            <a:t>verage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447676</xdr:colOff>
      <xdr:row>1</xdr:row>
      <xdr:rowOff>9524</xdr:rowOff>
    </xdr:from>
    <xdr:to>
      <xdr:col>14</xdr:col>
      <xdr:colOff>304800</xdr:colOff>
      <xdr:row>20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EB495B-19EF-4FE4-BEE5-A4A7CD25FD1E}"/>
            </a:ext>
          </a:extLst>
        </xdr:cNvPr>
        <xdr:cNvSpPr txBox="1"/>
      </xdr:nvSpPr>
      <xdr:spPr>
        <a:xfrm>
          <a:off x="2886076" y="200024"/>
          <a:ext cx="5953124" cy="3781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3. AND Function</a:t>
          </a:r>
        </a:p>
        <a:p>
          <a:r>
            <a:rPr lang="en-IN" sz="1600" b="1"/>
            <a:t>Description</a:t>
          </a:r>
          <a:r>
            <a:rPr lang="en-IN" sz="1600"/>
            <a:t>: The AND function checks if all the conditions are TRUE. It returns TRUE only if all conditions are met, otherwise it returns FALSE.</a:t>
          </a:r>
        </a:p>
        <a:p>
          <a:r>
            <a:rPr lang="en-IN" sz="1600" b="1"/>
            <a:t>Syntax</a:t>
          </a:r>
          <a:r>
            <a:rPr lang="en-IN" sz="1600"/>
            <a:t>: AND(condition1, [condition2], ...)</a:t>
          </a:r>
        </a:p>
        <a:p>
          <a:r>
            <a:rPr lang="en-IN" sz="1600" b="1"/>
            <a:t>Example</a:t>
          </a:r>
          <a:r>
            <a:rPr lang="en-IN" sz="1600"/>
            <a:t>: =AND(A1&gt;80, B1&gt;80) returns TRUE if both values in A1 and B1 are greater than 80.</a:t>
          </a:r>
          <a:endParaRPr lang="en-IN" sz="1400"/>
        </a:p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IF with AND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This combination uses the AND function within an IF statement to check multiple conditions and return different results based on whether all conditions are TRUE.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=IF(AND(A1&gt;80, B1&gt;80), "Both Above 80", "Not Both Above 80") checks if both A1 and B1 are greater than 80 and returns a corresponding message.</a:t>
          </a:r>
          <a:endParaRPr lang="en-IN" sz="2000">
            <a:effectLst/>
          </a:endParaRPr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123825</xdr:rowOff>
    </xdr:from>
    <xdr:to>
      <xdr:col>17</xdr:col>
      <xdr:colOff>19050</xdr:colOff>
      <xdr:row>19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B1943C-A4E0-4A26-949C-F26AAA4E967F}"/>
            </a:ext>
          </a:extLst>
        </xdr:cNvPr>
        <xdr:cNvSpPr txBox="1"/>
      </xdr:nvSpPr>
      <xdr:spPr>
        <a:xfrm>
          <a:off x="2286000" y="314325"/>
          <a:ext cx="8096250" cy="332422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OR Function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OR function checks if any of the conditions are TRUE. It returns TRUE if at least one condition is met, otherwise it returns FALSE.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OR(condition1, [condition2], ...)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=OR(A1&gt;80, B1&gt;80) returns TRUE if either value in A1 or B1 is greater than 80.</a:t>
          </a:r>
          <a:endParaRPr lang="en-IN" sz="2000">
            <a:effectLst/>
          </a:endParaRPr>
        </a:p>
        <a:p>
          <a:pPr algn="ctr"/>
          <a:endParaRPr lang="en-IN" sz="1600" b="1"/>
        </a:p>
        <a:p>
          <a:pPr algn="ctr"/>
          <a:r>
            <a:rPr lang="en-IN" sz="1600" b="1"/>
            <a:t>6. IF with OR</a:t>
          </a:r>
        </a:p>
        <a:p>
          <a:r>
            <a:rPr lang="en-IN" sz="1600" b="1"/>
            <a:t>Description</a:t>
          </a:r>
          <a:r>
            <a:rPr lang="en-IN" sz="1600"/>
            <a:t>: This combination uses the OR function within an IF statement to check if any condition is TRUE and return different results based on that.</a:t>
          </a:r>
        </a:p>
        <a:p>
          <a:r>
            <a:rPr lang="en-IN" sz="1600" b="1"/>
            <a:t>Example</a:t>
          </a:r>
          <a:r>
            <a:rPr lang="en-IN" sz="1600"/>
            <a:t>: =IF(OR(A1&gt;80, B1&gt;80), "One or More Above 80", "None Above 80") checks if either A1 or B1 is greater than 80 and returns a corresponding message.</a:t>
          </a:r>
        </a:p>
        <a:p>
          <a:endParaRPr lang="en-IN" sz="1600"/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995-2A5A-45C4-B4DF-9B496160FFFB}">
  <dimension ref="A1:M11"/>
  <sheetViews>
    <sheetView workbookViewId="0">
      <selection activeCell="T17" sqref="T17"/>
    </sheetView>
  </sheetViews>
  <sheetFormatPr defaultRowHeight="14.4"/>
  <sheetData>
    <row r="1" spans="1:13" s="40" customFormat="1" ht="31.2">
      <c r="A1" s="39" t="s">
        <v>262</v>
      </c>
    </row>
    <row r="5" spans="1:13" ht="23.4">
      <c r="E5" s="25"/>
      <c r="F5" s="25"/>
      <c r="G5" s="25"/>
      <c r="H5" s="25"/>
      <c r="I5" s="25"/>
      <c r="J5" s="25"/>
      <c r="K5" s="25"/>
      <c r="L5" s="25"/>
      <c r="M5" s="25"/>
    </row>
    <row r="6" spans="1:13" ht="23.4">
      <c r="E6" s="25"/>
      <c r="F6" s="26" t="s">
        <v>119</v>
      </c>
      <c r="G6" s="26"/>
      <c r="H6" s="26" t="s">
        <v>124</v>
      </c>
      <c r="I6" s="26"/>
      <c r="J6" s="26" t="s">
        <v>120</v>
      </c>
      <c r="K6" s="26"/>
      <c r="L6" s="26" t="s">
        <v>121</v>
      </c>
      <c r="M6" s="26"/>
    </row>
    <row r="7" spans="1:13" ht="23.4">
      <c r="E7" s="25"/>
      <c r="F7" s="27"/>
      <c r="G7" s="27"/>
      <c r="H7" s="27"/>
      <c r="I7" s="27"/>
      <c r="J7" s="27"/>
      <c r="K7" s="27"/>
      <c r="L7" s="27"/>
      <c r="M7" s="27"/>
    </row>
    <row r="8" spans="1:13" ht="23.4">
      <c r="E8" s="25"/>
      <c r="F8" s="26" t="s">
        <v>122</v>
      </c>
      <c r="G8" s="26"/>
      <c r="H8" s="26" t="s">
        <v>123</v>
      </c>
      <c r="I8" s="26"/>
      <c r="J8" s="27"/>
      <c r="K8" s="27"/>
      <c r="L8" s="27"/>
      <c r="M8" s="27"/>
    </row>
    <row r="9" spans="1:13" ht="23.4">
      <c r="E9" s="25"/>
      <c r="F9" s="25"/>
      <c r="G9" s="25"/>
      <c r="H9" s="25"/>
      <c r="I9" s="25"/>
      <c r="J9" s="25"/>
      <c r="K9" s="25"/>
      <c r="L9" s="25"/>
      <c r="M9" s="25"/>
    </row>
    <row r="10" spans="1:13" ht="23.4">
      <c r="E10" s="25"/>
      <c r="F10" s="25"/>
      <c r="G10" s="25"/>
      <c r="H10" s="25"/>
      <c r="I10" s="25"/>
      <c r="J10" s="25"/>
      <c r="K10" s="25"/>
      <c r="L10" s="25"/>
      <c r="M10" s="25"/>
    </row>
    <row r="11" spans="1:13" ht="23.4">
      <c r="E11" s="25"/>
      <c r="F11" s="25"/>
      <c r="G11" s="25"/>
      <c r="H11" s="25"/>
      <c r="I11" s="25"/>
      <c r="J11" s="25"/>
      <c r="K11" s="25"/>
      <c r="L11" s="25"/>
      <c r="M11" s="25"/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8CD5-BBCF-433F-A2D2-EA0A6B016FF6}">
  <sheetPr codeName="Sheet1"/>
  <dimension ref="A1"/>
  <sheetViews>
    <sheetView workbookViewId="0">
      <selection activeCell="S22" sqref="S22"/>
    </sheetView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1"/>
  <sheetViews>
    <sheetView workbookViewId="0">
      <selection activeCell="K16" sqref="K16"/>
    </sheetView>
  </sheetViews>
  <sheetFormatPr defaultColWidth="9.109375" defaultRowHeight="14.4"/>
  <cols>
    <col min="1" max="1" width="11" style="1" customWidth="1"/>
    <col min="2" max="2" width="14.88671875" style="1" customWidth="1"/>
    <col min="3" max="3" width="11.6640625" style="1" customWidth="1"/>
    <col min="4" max="4" width="13.5546875" style="1" customWidth="1"/>
    <col min="5" max="5" width="14" style="1" customWidth="1"/>
    <col min="6" max="6" width="11.33203125" style="1" customWidth="1"/>
    <col min="7" max="7" width="9.44140625" style="14" customWidth="1"/>
    <col min="8" max="21" width="9.109375" style="1"/>
  </cols>
  <sheetData>
    <row r="1" spans="1:1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3" t="s">
        <v>47</v>
      </c>
    </row>
    <row r="2" spans="1:12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 t="shared" ref="F2:F21" si="0">C2+D2+E2</f>
        <v>164</v>
      </c>
      <c r="G2" s="14" t="str">
        <f>IF(F2&gt;=150,"Pass","Fail")</f>
        <v>Pass</v>
      </c>
      <c r="I2" s="1" t="str">
        <f>IF(F2&gt;150,"pass","fail")</f>
        <v>pass</v>
      </c>
    </row>
    <row r="3" spans="1:12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si="0"/>
        <v>227</v>
      </c>
      <c r="G3" s="14" t="str">
        <f t="shared" ref="G3:G21" si="1">IF(F3&gt;=150,"Pass","Fail")</f>
        <v>Pass</v>
      </c>
      <c r="I3" s="1" t="str">
        <f t="shared" ref="I3:I21" si="2">IF(F3&gt;150,"pass","fail")</f>
        <v>pass</v>
      </c>
      <c r="K3" s="6" t="s">
        <v>48</v>
      </c>
      <c r="L3" s="38" t="s">
        <v>263</v>
      </c>
    </row>
    <row r="4" spans="1:12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14" t="str">
        <f t="shared" si="1"/>
        <v>Fail</v>
      </c>
      <c r="I4" s="1" t="str">
        <f t="shared" si="2"/>
        <v>fail</v>
      </c>
      <c r="K4" s="6" t="s">
        <v>32</v>
      </c>
      <c r="L4" s="6" t="s">
        <v>49</v>
      </c>
    </row>
    <row r="5" spans="1:12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14" t="str">
        <f t="shared" si="1"/>
        <v>Pass</v>
      </c>
      <c r="I5" s="1" t="str">
        <f t="shared" si="2"/>
        <v>pass</v>
      </c>
    </row>
    <row r="6" spans="1:12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14" t="str">
        <f t="shared" si="1"/>
        <v>Fail</v>
      </c>
      <c r="I6" s="1" t="str">
        <f t="shared" si="2"/>
        <v>fail</v>
      </c>
    </row>
    <row r="7" spans="1:12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14" t="str">
        <f t="shared" si="1"/>
        <v>Pass</v>
      </c>
      <c r="I7" s="1" t="str">
        <f t="shared" si="2"/>
        <v>pass</v>
      </c>
    </row>
    <row r="8" spans="1:12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14" t="str">
        <f t="shared" si="1"/>
        <v>Pass</v>
      </c>
      <c r="I8" s="1" t="str">
        <f t="shared" si="2"/>
        <v>pass</v>
      </c>
    </row>
    <row r="9" spans="1:12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14" t="str">
        <f t="shared" si="1"/>
        <v>Pass</v>
      </c>
      <c r="I9" s="1" t="str">
        <f t="shared" si="2"/>
        <v>pass</v>
      </c>
    </row>
    <row r="10" spans="1:12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14" t="str">
        <f t="shared" si="1"/>
        <v>Pass</v>
      </c>
      <c r="I10" s="1" t="str">
        <f t="shared" si="2"/>
        <v>pass</v>
      </c>
    </row>
    <row r="11" spans="1:12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14" t="str">
        <f t="shared" si="1"/>
        <v>Pass</v>
      </c>
      <c r="I11" s="1" t="str">
        <f t="shared" si="2"/>
        <v>pass</v>
      </c>
    </row>
    <row r="12" spans="1:12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14" t="str">
        <f t="shared" si="1"/>
        <v>Fail</v>
      </c>
      <c r="I12" s="1" t="str">
        <f t="shared" si="2"/>
        <v>fail</v>
      </c>
    </row>
    <row r="13" spans="1:12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14" t="str">
        <f t="shared" si="1"/>
        <v>Pass</v>
      </c>
      <c r="I13" s="1" t="str">
        <f t="shared" si="2"/>
        <v>pass</v>
      </c>
    </row>
    <row r="14" spans="1:12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14" t="str">
        <f t="shared" si="1"/>
        <v>Pass</v>
      </c>
      <c r="I14" s="1" t="str">
        <f t="shared" si="2"/>
        <v>pass</v>
      </c>
    </row>
    <row r="15" spans="1:12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14" t="str">
        <f t="shared" si="1"/>
        <v>Pass</v>
      </c>
      <c r="I15" s="1" t="str">
        <f t="shared" si="2"/>
        <v>pass</v>
      </c>
    </row>
    <row r="16" spans="1:12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14" t="str">
        <f t="shared" si="1"/>
        <v>Pass</v>
      </c>
      <c r="I16" s="1" t="str">
        <f t="shared" si="2"/>
        <v>pass</v>
      </c>
    </row>
    <row r="17" spans="1:9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14" t="str">
        <f t="shared" si="1"/>
        <v>Pass</v>
      </c>
      <c r="I17" s="1" t="str">
        <f t="shared" si="2"/>
        <v>pass</v>
      </c>
    </row>
    <row r="18" spans="1:9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14" t="str">
        <f t="shared" si="1"/>
        <v>Pass</v>
      </c>
      <c r="I18" s="1" t="str">
        <f t="shared" si="2"/>
        <v>pass</v>
      </c>
    </row>
    <row r="19" spans="1:9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14" t="str">
        <f t="shared" si="1"/>
        <v>Pass</v>
      </c>
      <c r="I19" s="1" t="str">
        <f t="shared" si="2"/>
        <v>pass</v>
      </c>
    </row>
    <row r="20" spans="1:9">
      <c r="A20" s="4" t="s">
        <v>45</v>
      </c>
      <c r="B20" s="4" t="s">
        <v>28</v>
      </c>
      <c r="C20" s="4">
        <v>48</v>
      </c>
      <c r="D20" s="4">
        <v>49</v>
      </c>
      <c r="E20" s="4">
        <v>94</v>
      </c>
      <c r="F20" s="1">
        <f t="shared" si="0"/>
        <v>191</v>
      </c>
      <c r="G20" s="14" t="str">
        <f t="shared" si="1"/>
        <v>Pass</v>
      </c>
      <c r="I20" s="1" t="str">
        <f t="shared" si="2"/>
        <v>pass</v>
      </c>
    </row>
    <row r="21" spans="1:9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14" t="str">
        <f t="shared" si="1"/>
        <v>Pass</v>
      </c>
      <c r="I21" s="1" t="str">
        <f t="shared" si="2"/>
        <v>pass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FD94-1296-4083-A4C5-254D75DC21DE}">
  <dimension ref="B1:R18"/>
  <sheetViews>
    <sheetView workbookViewId="0">
      <selection activeCell="M10" sqref="M10"/>
    </sheetView>
  </sheetViews>
  <sheetFormatPr defaultRowHeight="14.4"/>
  <cols>
    <col min="10" max="10" width="11.109375" customWidth="1"/>
  </cols>
  <sheetData>
    <row r="1" spans="2:18" ht="23.4">
      <c r="C1" s="12" t="s">
        <v>92</v>
      </c>
    </row>
    <row r="3" spans="2:18" ht="43.2"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7" t="s">
        <v>93</v>
      </c>
    </row>
    <row r="4" spans="2:18">
      <c r="B4" s="5" t="s">
        <v>62</v>
      </c>
      <c r="C4" s="5" t="s">
        <v>63</v>
      </c>
      <c r="D4" s="5" t="s">
        <v>64</v>
      </c>
      <c r="E4" s="5" t="s">
        <v>65</v>
      </c>
      <c r="F4" s="5">
        <v>12000</v>
      </c>
      <c r="G4" s="5">
        <v>5</v>
      </c>
      <c r="H4" s="5" t="s">
        <v>66</v>
      </c>
      <c r="I4" s="5" t="s">
        <v>67</v>
      </c>
      <c r="J4" s="14" t="str">
        <f>IF(F4&gt;=10000,"High cost","Normal cost")</f>
        <v>High cost</v>
      </c>
      <c r="L4" s="41" t="s">
        <v>94</v>
      </c>
      <c r="M4" s="41"/>
      <c r="N4" s="41"/>
      <c r="O4" s="41"/>
      <c r="P4" s="41"/>
      <c r="Q4" s="41"/>
      <c r="R4" s="41"/>
    </row>
    <row r="5" spans="2:18">
      <c r="B5" s="5" t="s">
        <v>68</v>
      </c>
      <c r="C5" s="5" t="s">
        <v>69</v>
      </c>
      <c r="D5" s="5" t="s">
        <v>70</v>
      </c>
      <c r="E5" s="5" t="s">
        <v>71</v>
      </c>
      <c r="F5" s="5">
        <v>9000</v>
      </c>
      <c r="G5" s="5">
        <v>6</v>
      </c>
      <c r="H5" s="5" t="s">
        <v>72</v>
      </c>
      <c r="I5" s="5" t="s">
        <v>73</v>
      </c>
      <c r="J5" s="14" t="str">
        <f t="shared" ref="J5:J18" si="0">IF(F5&gt;=10000,"High cost","Normal cost")</f>
        <v>Normal cost</v>
      </c>
    </row>
    <row r="6" spans="2:18" ht="28.8">
      <c r="B6" s="5" t="s">
        <v>74</v>
      </c>
      <c r="C6" s="5" t="s">
        <v>75</v>
      </c>
      <c r="D6" s="5" t="s">
        <v>76</v>
      </c>
      <c r="E6" s="5" t="s">
        <v>65</v>
      </c>
      <c r="F6" s="5">
        <v>7000</v>
      </c>
      <c r="G6" s="5">
        <v>3</v>
      </c>
      <c r="H6" s="5" t="s">
        <v>66</v>
      </c>
      <c r="I6" s="5" t="s">
        <v>67</v>
      </c>
      <c r="J6" s="14" t="str">
        <f t="shared" si="0"/>
        <v>Normal cost</v>
      </c>
    </row>
    <row r="7" spans="2:18" ht="28.8">
      <c r="B7" s="5" t="s">
        <v>77</v>
      </c>
      <c r="C7" s="5" t="s">
        <v>64</v>
      </c>
      <c r="D7" s="5" t="s">
        <v>78</v>
      </c>
      <c r="E7" s="5" t="s">
        <v>79</v>
      </c>
      <c r="F7" s="5">
        <v>20000</v>
      </c>
      <c r="G7" s="5">
        <v>2</v>
      </c>
      <c r="H7" s="5" t="s">
        <v>66</v>
      </c>
      <c r="I7" s="5" t="s">
        <v>67</v>
      </c>
      <c r="J7" s="14" t="str">
        <f t="shared" si="0"/>
        <v>High cost</v>
      </c>
    </row>
    <row r="8" spans="2:18">
      <c r="B8" s="5" t="s">
        <v>80</v>
      </c>
      <c r="C8" s="5" t="s">
        <v>76</v>
      </c>
      <c r="D8" s="5" t="s">
        <v>63</v>
      </c>
      <c r="E8" s="5" t="s">
        <v>65</v>
      </c>
      <c r="F8" s="5">
        <v>8000</v>
      </c>
      <c r="G8" s="5">
        <v>5</v>
      </c>
      <c r="H8" s="5" t="s">
        <v>81</v>
      </c>
      <c r="I8" s="5" t="s">
        <v>73</v>
      </c>
      <c r="J8" s="14" t="str">
        <f t="shared" si="0"/>
        <v>Normal cost</v>
      </c>
    </row>
    <row r="9" spans="2:18">
      <c r="B9" s="5" t="s">
        <v>82</v>
      </c>
      <c r="C9" s="5" t="s">
        <v>70</v>
      </c>
      <c r="D9" s="5" t="s">
        <v>69</v>
      </c>
      <c r="E9" s="5" t="s">
        <v>71</v>
      </c>
      <c r="F9" s="5">
        <v>9500</v>
      </c>
      <c r="G9" s="5">
        <v>4</v>
      </c>
      <c r="H9" s="5" t="s">
        <v>66</v>
      </c>
      <c r="I9" s="5" t="s">
        <v>73</v>
      </c>
      <c r="J9" s="14" t="str">
        <f t="shared" si="0"/>
        <v>Normal cost</v>
      </c>
    </row>
    <row r="10" spans="2:18" ht="28.8">
      <c r="B10" s="5" t="s">
        <v>83</v>
      </c>
      <c r="C10" s="5" t="s">
        <v>78</v>
      </c>
      <c r="D10" s="5" t="s">
        <v>75</v>
      </c>
      <c r="E10" s="5" t="s">
        <v>79</v>
      </c>
      <c r="F10" s="5">
        <v>18000</v>
      </c>
      <c r="G10" s="5">
        <v>1</v>
      </c>
      <c r="H10" s="5" t="s">
        <v>72</v>
      </c>
      <c r="I10" s="5" t="s">
        <v>67</v>
      </c>
      <c r="J10" s="14" t="str">
        <f t="shared" si="0"/>
        <v>High cost</v>
      </c>
    </row>
    <row r="11" spans="2:18">
      <c r="B11" s="5" t="s">
        <v>84</v>
      </c>
      <c r="C11" s="5" t="s">
        <v>63</v>
      </c>
      <c r="D11" s="5" t="s">
        <v>76</v>
      </c>
      <c r="E11" s="5" t="s">
        <v>65</v>
      </c>
      <c r="F11" s="5">
        <v>7500</v>
      </c>
      <c r="G11" s="5">
        <v>3</v>
      </c>
      <c r="H11" s="5" t="s">
        <v>66</v>
      </c>
      <c r="I11" s="5" t="s">
        <v>73</v>
      </c>
      <c r="J11" s="14" t="str">
        <f t="shared" si="0"/>
        <v>Normal cost</v>
      </c>
    </row>
    <row r="12" spans="2:18">
      <c r="B12" s="5" t="s">
        <v>85</v>
      </c>
      <c r="C12" s="5" t="s">
        <v>69</v>
      </c>
      <c r="D12" s="5" t="s">
        <v>64</v>
      </c>
      <c r="E12" s="5" t="s">
        <v>71</v>
      </c>
      <c r="F12" s="5">
        <v>11000</v>
      </c>
      <c r="G12" s="5">
        <v>6</v>
      </c>
      <c r="H12" s="5" t="s">
        <v>66</v>
      </c>
      <c r="I12" s="5" t="s">
        <v>67</v>
      </c>
      <c r="J12" s="14" t="str">
        <f t="shared" si="0"/>
        <v>High cost</v>
      </c>
    </row>
    <row r="13" spans="2:18">
      <c r="B13" s="5" t="s">
        <v>86</v>
      </c>
      <c r="C13" s="5" t="s">
        <v>64</v>
      </c>
      <c r="D13" s="5" t="s">
        <v>63</v>
      </c>
      <c r="E13" s="5" t="s">
        <v>65</v>
      </c>
      <c r="F13" s="5">
        <v>13000</v>
      </c>
      <c r="G13" s="5">
        <v>7</v>
      </c>
      <c r="H13" s="5" t="s">
        <v>81</v>
      </c>
      <c r="I13" s="5" t="s">
        <v>73</v>
      </c>
      <c r="J13" s="14" t="str">
        <f t="shared" si="0"/>
        <v>High cost</v>
      </c>
    </row>
    <row r="14" spans="2:18" ht="28.8">
      <c r="B14" s="5" t="s">
        <v>87</v>
      </c>
      <c r="C14" s="5" t="s">
        <v>76</v>
      </c>
      <c r="D14" s="5" t="s">
        <v>75</v>
      </c>
      <c r="E14" s="5" t="s">
        <v>65</v>
      </c>
      <c r="F14" s="5">
        <v>8500</v>
      </c>
      <c r="G14" s="5">
        <v>2</v>
      </c>
      <c r="H14" s="5" t="s">
        <v>66</v>
      </c>
      <c r="I14" s="5" t="s">
        <v>67</v>
      </c>
      <c r="J14" s="14" t="str">
        <f t="shared" si="0"/>
        <v>Normal cost</v>
      </c>
    </row>
    <row r="15" spans="2:18" ht="28.8">
      <c r="B15" s="5" t="s">
        <v>88</v>
      </c>
      <c r="C15" s="5" t="s">
        <v>78</v>
      </c>
      <c r="D15" s="5" t="s">
        <v>69</v>
      </c>
      <c r="E15" s="5" t="s">
        <v>79</v>
      </c>
      <c r="F15" s="5">
        <v>22000</v>
      </c>
      <c r="G15" s="5">
        <v>2</v>
      </c>
      <c r="H15" s="5" t="s">
        <v>66</v>
      </c>
      <c r="I15" s="5" t="s">
        <v>67</v>
      </c>
      <c r="J15" s="14" t="str">
        <f t="shared" si="0"/>
        <v>High cost</v>
      </c>
    </row>
    <row r="16" spans="2:18" ht="28.8">
      <c r="B16" s="5" t="s">
        <v>89</v>
      </c>
      <c r="C16" s="5" t="s">
        <v>75</v>
      </c>
      <c r="D16" s="5" t="s">
        <v>64</v>
      </c>
      <c r="E16" s="5" t="s">
        <v>71</v>
      </c>
      <c r="F16" s="5">
        <v>10000</v>
      </c>
      <c r="G16" s="5">
        <v>5</v>
      </c>
      <c r="H16" s="5" t="s">
        <v>72</v>
      </c>
      <c r="I16" s="5" t="s">
        <v>73</v>
      </c>
      <c r="J16" s="14" t="str">
        <f t="shared" si="0"/>
        <v>High cost</v>
      </c>
    </row>
    <row r="17" spans="2:10" ht="28.8">
      <c r="B17" s="5" t="s">
        <v>90</v>
      </c>
      <c r="C17" s="5" t="s">
        <v>70</v>
      </c>
      <c r="D17" s="5" t="s">
        <v>78</v>
      </c>
      <c r="E17" s="5" t="s">
        <v>79</v>
      </c>
      <c r="F17" s="5">
        <v>19500</v>
      </c>
      <c r="G17" s="5">
        <v>3</v>
      </c>
      <c r="H17" s="5" t="s">
        <v>66</v>
      </c>
      <c r="I17" s="5" t="s">
        <v>67</v>
      </c>
      <c r="J17" s="14" t="str">
        <f t="shared" si="0"/>
        <v>High cost</v>
      </c>
    </row>
    <row r="18" spans="2:10">
      <c r="B18" s="5" t="s">
        <v>91</v>
      </c>
      <c r="C18" s="5" t="s">
        <v>63</v>
      </c>
      <c r="D18" s="5" t="s">
        <v>69</v>
      </c>
      <c r="E18" s="5" t="s">
        <v>71</v>
      </c>
      <c r="F18" s="5">
        <v>10500</v>
      </c>
      <c r="G18" s="5">
        <v>6</v>
      </c>
      <c r="H18" s="5" t="s">
        <v>66</v>
      </c>
      <c r="I18" s="5" t="s">
        <v>73</v>
      </c>
      <c r="J18" s="14" t="str">
        <f t="shared" si="0"/>
        <v>High cost</v>
      </c>
    </row>
  </sheetData>
  <mergeCells count="1">
    <mergeCell ref="L4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B461-018C-4337-BDAA-F50F50134844}">
  <dimension ref="B1:P18"/>
  <sheetViews>
    <sheetView workbookViewId="0">
      <selection activeCell="J4" sqref="J4"/>
    </sheetView>
  </sheetViews>
  <sheetFormatPr defaultRowHeight="14.4"/>
  <cols>
    <col min="16" max="16" width="12" customWidth="1"/>
  </cols>
  <sheetData>
    <row r="1" spans="2:16" ht="23.4">
      <c r="E1" s="15" t="s">
        <v>92</v>
      </c>
    </row>
    <row r="3" spans="2:16" ht="43.2">
      <c r="B3" s="16" t="s">
        <v>54</v>
      </c>
      <c r="C3" s="16" t="s">
        <v>55</v>
      </c>
      <c r="D3" s="16" t="s">
        <v>56</v>
      </c>
      <c r="E3" s="16" t="s">
        <v>57</v>
      </c>
      <c r="F3" s="16" t="s">
        <v>58</v>
      </c>
      <c r="G3" s="16" t="s">
        <v>59</v>
      </c>
      <c r="H3" s="16" t="s">
        <v>60</v>
      </c>
      <c r="I3" s="16" t="s">
        <v>61</v>
      </c>
      <c r="J3" s="17" t="s">
        <v>95</v>
      </c>
    </row>
    <row r="4" spans="2:16">
      <c r="B4" s="13" t="s">
        <v>62</v>
      </c>
      <c r="C4" s="13" t="s">
        <v>63</v>
      </c>
      <c r="D4" s="13" t="s">
        <v>64</v>
      </c>
      <c r="E4" s="13" t="s">
        <v>65</v>
      </c>
      <c r="F4" s="13">
        <v>12000</v>
      </c>
      <c r="G4" s="13">
        <v>5</v>
      </c>
      <c r="H4" s="13" t="s">
        <v>66</v>
      </c>
      <c r="I4" s="13" t="s">
        <v>67</v>
      </c>
      <c r="J4" s="14" t="str">
        <f>IF(G4&gt;=5,"Delayed","On Time")</f>
        <v>Delayed</v>
      </c>
      <c r="L4" s="42" t="s">
        <v>264</v>
      </c>
      <c r="M4" s="41"/>
      <c r="N4" s="41"/>
      <c r="O4" s="41"/>
      <c r="P4" s="41"/>
    </row>
    <row r="5" spans="2:16">
      <c r="B5" s="13" t="s">
        <v>68</v>
      </c>
      <c r="C5" s="13" t="s">
        <v>69</v>
      </c>
      <c r="D5" s="13" t="s">
        <v>70</v>
      </c>
      <c r="E5" s="13" t="s">
        <v>71</v>
      </c>
      <c r="F5" s="13">
        <v>9000</v>
      </c>
      <c r="G5" s="13">
        <v>6</v>
      </c>
      <c r="H5" s="13" t="s">
        <v>72</v>
      </c>
      <c r="I5" s="13" t="s">
        <v>73</v>
      </c>
      <c r="J5" s="14" t="str">
        <f t="shared" ref="J5:J18" si="0">IF(G5&gt;=5,"Delayed","On Time")</f>
        <v>Delayed</v>
      </c>
    </row>
    <row r="6" spans="2:16" ht="28.8">
      <c r="B6" s="13" t="s">
        <v>74</v>
      </c>
      <c r="C6" s="13" t="s">
        <v>75</v>
      </c>
      <c r="D6" s="13" t="s">
        <v>76</v>
      </c>
      <c r="E6" s="13" t="s">
        <v>65</v>
      </c>
      <c r="F6" s="13">
        <v>7000</v>
      </c>
      <c r="G6" s="13">
        <v>3</v>
      </c>
      <c r="H6" s="13" t="s">
        <v>66</v>
      </c>
      <c r="I6" s="13" t="s">
        <v>67</v>
      </c>
      <c r="J6" s="14" t="str">
        <f t="shared" si="0"/>
        <v>On Time</v>
      </c>
    </row>
    <row r="7" spans="2:16" ht="28.8">
      <c r="B7" s="13" t="s">
        <v>77</v>
      </c>
      <c r="C7" s="13" t="s">
        <v>64</v>
      </c>
      <c r="D7" s="13" t="s">
        <v>78</v>
      </c>
      <c r="E7" s="13" t="s">
        <v>79</v>
      </c>
      <c r="F7" s="13">
        <v>20000</v>
      </c>
      <c r="G7" s="13">
        <v>2</v>
      </c>
      <c r="H7" s="13" t="s">
        <v>66</v>
      </c>
      <c r="I7" s="13" t="s">
        <v>67</v>
      </c>
      <c r="J7" s="14" t="str">
        <f t="shared" si="0"/>
        <v>On Time</v>
      </c>
    </row>
    <row r="8" spans="2:16">
      <c r="B8" s="13" t="s">
        <v>80</v>
      </c>
      <c r="C8" s="13" t="s">
        <v>76</v>
      </c>
      <c r="D8" s="13" t="s">
        <v>63</v>
      </c>
      <c r="E8" s="13" t="s">
        <v>65</v>
      </c>
      <c r="F8" s="13">
        <v>8000</v>
      </c>
      <c r="G8" s="13">
        <v>5</v>
      </c>
      <c r="H8" s="13" t="s">
        <v>81</v>
      </c>
      <c r="I8" s="13" t="s">
        <v>73</v>
      </c>
      <c r="J8" s="14" t="str">
        <f t="shared" si="0"/>
        <v>Delayed</v>
      </c>
    </row>
    <row r="9" spans="2:16">
      <c r="B9" s="13" t="s">
        <v>82</v>
      </c>
      <c r="C9" s="13" t="s">
        <v>70</v>
      </c>
      <c r="D9" s="13" t="s">
        <v>69</v>
      </c>
      <c r="E9" s="13" t="s">
        <v>71</v>
      </c>
      <c r="F9" s="13">
        <v>9500</v>
      </c>
      <c r="G9" s="13">
        <v>4</v>
      </c>
      <c r="H9" s="13" t="s">
        <v>66</v>
      </c>
      <c r="I9" s="13" t="s">
        <v>73</v>
      </c>
      <c r="J9" s="14" t="str">
        <f t="shared" si="0"/>
        <v>On Time</v>
      </c>
    </row>
    <row r="10" spans="2:16" ht="28.8">
      <c r="B10" s="13" t="s">
        <v>83</v>
      </c>
      <c r="C10" s="13" t="s">
        <v>78</v>
      </c>
      <c r="D10" s="13" t="s">
        <v>75</v>
      </c>
      <c r="E10" s="13" t="s">
        <v>79</v>
      </c>
      <c r="F10" s="13">
        <v>18000</v>
      </c>
      <c r="G10" s="13">
        <v>1</v>
      </c>
      <c r="H10" s="13" t="s">
        <v>72</v>
      </c>
      <c r="I10" s="13" t="s">
        <v>67</v>
      </c>
      <c r="J10" s="14" t="str">
        <f t="shared" si="0"/>
        <v>On Time</v>
      </c>
    </row>
    <row r="11" spans="2:16">
      <c r="B11" s="13" t="s">
        <v>84</v>
      </c>
      <c r="C11" s="13" t="s">
        <v>63</v>
      </c>
      <c r="D11" s="13" t="s">
        <v>76</v>
      </c>
      <c r="E11" s="13" t="s">
        <v>65</v>
      </c>
      <c r="F11" s="13">
        <v>7500</v>
      </c>
      <c r="G11" s="13">
        <v>3</v>
      </c>
      <c r="H11" s="13" t="s">
        <v>66</v>
      </c>
      <c r="I11" s="13" t="s">
        <v>73</v>
      </c>
      <c r="J11" s="14" t="str">
        <f t="shared" si="0"/>
        <v>On Time</v>
      </c>
    </row>
    <row r="12" spans="2:16">
      <c r="B12" s="13" t="s">
        <v>85</v>
      </c>
      <c r="C12" s="13" t="s">
        <v>69</v>
      </c>
      <c r="D12" s="13" t="s">
        <v>64</v>
      </c>
      <c r="E12" s="13" t="s">
        <v>71</v>
      </c>
      <c r="F12" s="13">
        <v>11000</v>
      </c>
      <c r="G12" s="13">
        <v>6</v>
      </c>
      <c r="H12" s="13" t="s">
        <v>66</v>
      </c>
      <c r="I12" s="13" t="s">
        <v>67</v>
      </c>
      <c r="J12" s="14" t="str">
        <f t="shared" si="0"/>
        <v>Delayed</v>
      </c>
    </row>
    <row r="13" spans="2:16">
      <c r="B13" s="13" t="s">
        <v>86</v>
      </c>
      <c r="C13" s="13" t="s">
        <v>64</v>
      </c>
      <c r="D13" s="13" t="s">
        <v>63</v>
      </c>
      <c r="E13" s="13" t="s">
        <v>65</v>
      </c>
      <c r="F13" s="13">
        <v>13000</v>
      </c>
      <c r="G13" s="13">
        <v>7</v>
      </c>
      <c r="H13" s="13" t="s">
        <v>81</v>
      </c>
      <c r="I13" s="13" t="s">
        <v>73</v>
      </c>
      <c r="J13" s="14" t="str">
        <f t="shared" si="0"/>
        <v>Delayed</v>
      </c>
    </row>
    <row r="14" spans="2:16" ht="28.8">
      <c r="B14" s="13" t="s">
        <v>87</v>
      </c>
      <c r="C14" s="13" t="s">
        <v>76</v>
      </c>
      <c r="D14" s="13" t="s">
        <v>75</v>
      </c>
      <c r="E14" s="13" t="s">
        <v>65</v>
      </c>
      <c r="F14" s="13">
        <v>8500</v>
      </c>
      <c r="G14" s="13">
        <v>2</v>
      </c>
      <c r="H14" s="13" t="s">
        <v>66</v>
      </c>
      <c r="I14" s="13" t="s">
        <v>67</v>
      </c>
      <c r="J14" s="14" t="str">
        <f t="shared" si="0"/>
        <v>On Time</v>
      </c>
    </row>
    <row r="15" spans="2:16" ht="28.8">
      <c r="B15" s="13" t="s">
        <v>88</v>
      </c>
      <c r="C15" s="13" t="s">
        <v>78</v>
      </c>
      <c r="D15" s="13" t="s">
        <v>69</v>
      </c>
      <c r="E15" s="13" t="s">
        <v>79</v>
      </c>
      <c r="F15" s="13">
        <v>22000</v>
      </c>
      <c r="G15" s="13">
        <v>2</v>
      </c>
      <c r="H15" s="13" t="s">
        <v>66</v>
      </c>
      <c r="I15" s="13" t="s">
        <v>67</v>
      </c>
      <c r="J15" s="14" t="str">
        <f t="shared" si="0"/>
        <v>On Time</v>
      </c>
    </row>
    <row r="16" spans="2:16" ht="28.8">
      <c r="B16" s="13" t="s">
        <v>89</v>
      </c>
      <c r="C16" s="13" t="s">
        <v>75</v>
      </c>
      <c r="D16" s="13" t="s">
        <v>64</v>
      </c>
      <c r="E16" s="13" t="s">
        <v>71</v>
      </c>
      <c r="F16" s="13">
        <v>10000</v>
      </c>
      <c r="G16" s="13">
        <v>5</v>
      </c>
      <c r="H16" s="13" t="s">
        <v>72</v>
      </c>
      <c r="I16" s="13" t="s">
        <v>73</v>
      </c>
      <c r="J16" s="14" t="str">
        <f t="shared" si="0"/>
        <v>Delayed</v>
      </c>
    </row>
    <row r="17" spans="2:10" ht="28.8">
      <c r="B17" s="13" t="s">
        <v>90</v>
      </c>
      <c r="C17" s="13" t="s">
        <v>70</v>
      </c>
      <c r="D17" s="13" t="s">
        <v>78</v>
      </c>
      <c r="E17" s="13" t="s">
        <v>79</v>
      </c>
      <c r="F17" s="13">
        <v>19500</v>
      </c>
      <c r="G17" s="13">
        <v>3</v>
      </c>
      <c r="H17" s="13" t="s">
        <v>66</v>
      </c>
      <c r="I17" s="13" t="s">
        <v>67</v>
      </c>
      <c r="J17" s="14" t="str">
        <f t="shared" si="0"/>
        <v>On Time</v>
      </c>
    </row>
    <row r="18" spans="2:10">
      <c r="B18" s="13" t="s">
        <v>91</v>
      </c>
      <c r="C18" s="13" t="s">
        <v>63</v>
      </c>
      <c r="D18" s="13" t="s">
        <v>69</v>
      </c>
      <c r="E18" s="13" t="s">
        <v>71</v>
      </c>
      <c r="F18" s="13">
        <v>10500</v>
      </c>
      <c r="G18" s="13">
        <v>6</v>
      </c>
      <c r="H18" s="13" t="s">
        <v>66</v>
      </c>
      <c r="I18" s="13" t="s">
        <v>73</v>
      </c>
      <c r="J18" s="14" t="str">
        <f t="shared" si="0"/>
        <v>Delayed</v>
      </c>
    </row>
  </sheetData>
  <mergeCells count="1">
    <mergeCell ref="L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E8BC-9A22-4D7F-93BE-85871F9C0DFC}">
  <dimension ref="A1"/>
  <sheetViews>
    <sheetView workbookViewId="0">
      <selection activeCell="A26" sqref="A26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66D0-F4E1-406F-B81E-CD36549A4E60}">
  <dimension ref="C1:H18"/>
  <sheetViews>
    <sheetView workbookViewId="0">
      <selection activeCell="G11" sqref="G11"/>
    </sheetView>
  </sheetViews>
  <sheetFormatPr defaultRowHeight="14.4"/>
  <sheetData>
    <row r="1" spans="3:8" ht="21">
      <c r="C1" s="20" t="s">
        <v>100</v>
      </c>
    </row>
    <row r="3" spans="3:8" ht="28.8">
      <c r="C3" s="16" t="s">
        <v>54</v>
      </c>
      <c r="D3" s="16" t="s">
        <v>59</v>
      </c>
      <c r="E3" s="16" t="s">
        <v>60</v>
      </c>
      <c r="H3" s="18" t="s">
        <v>101</v>
      </c>
    </row>
    <row r="4" spans="3:8">
      <c r="C4" s="13" t="s">
        <v>62</v>
      </c>
      <c r="D4" s="13">
        <v>2</v>
      </c>
      <c r="E4" s="5" t="str" cm="1">
        <f t="array" ref="E4">_xlfn.IFS(D4&lt;=3,"Fast",D4&lt;=5,"Normal",D4&lt;=7,"Slow",D4&gt;=7,"Delayed")</f>
        <v>Fast</v>
      </c>
      <c r="H4" s="19" t="s">
        <v>96</v>
      </c>
    </row>
    <row r="5" spans="3:8">
      <c r="C5" s="13" t="s">
        <v>68</v>
      </c>
      <c r="D5" s="13">
        <v>4</v>
      </c>
      <c r="E5" s="5" t="str" cm="1">
        <f t="array" ref="E5">_xlfn.IFS(D5&lt;=3,"Fast",D5&lt;=5,"Normal",D5&lt;=7,"Slow",D5&gt;=7,"Delayed")</f>
        <v>Normal</v>
      </c>
      <c r="H5" s="19" t="s">
        <v>97</v>
      </c>
    </row>
    <row r="6" spans="3:8">
      <c r="C6" s="13" t="s">
        <v>74</v>
      </c>
      <c r="D6" s="13">
        <v>5</v>
      </c>
      <c r="E6" s="5" t="str" cm="1">
        <f t="array" ref="E6">_xlfn.IFS(D6&lt;=3,"Fast",D6&lt;=5,"Normal",D6&lt;=7,"Slow",D6&gt;=7,"Delayed")</f>
        <v>Normal</v>
      </c>
      <c r="H6" s="19" t="s">
        <v>98</v>
      </c>
    </row>
    <row r="7" spans="3:8">
      <c r="C7" s="13" t="s">
        <v>77</v>
      </c>
      <c r="D7" s="13">
        <v>6</v>
      </c>
      <c r="E7" s="5" t="str" cm="1">
        <f t="array" ref="E7">_xlfn.IFS(D7&lt;=3,"Fast",D7&lt;=5,"Normal",D7&lt;=7,"Slow",D7&gt;=7,"Delayed")</f>
        <v>Slow</v>
      </c>
      <c r="H7" s="19" t="s">
        <v>99</v>
      </c>
    </row>
    <row r="8" spans="3:8">
      <c r="C8" s="13" t="s">
        <v>80</v>
      </c>
      <c r="D8" s="13">
        <v>8</v>
      </c>
      <c r="E8" s="5" t="str" cm="1">
        <f t="array" ref="E8">_xlfn.IFS(D8&lt;=3,"Fast",D8&lt;=5,"Normal",D8&lt;=7,"Slow",D8&gt;=7,"Delayed")</f>
        <v>Delayed</v>
      </c>
    </row>
    <row r="9" spans="3:8">
      <c r="C9" s="13" t="s">
        <v>82</v>
      </c>
      <c r="D9" s="13">
        <v>3</v>
      </c>
      <c r="E9" s="5" t="str" cm="1">
        <f t="array" ref="E9">_xlfn.IFS(D9&lt;=3,"Fast",D9&lt;=5,"Normal",D9&lt;=7,"Slow",D9&gt;=7,"Delayed")</f>
        <v>Fast</v>
      </c>
      <c r="H9" s="9"/>
    </row>
    <row r="10" spans="3:8">
      <c r="C10" s="13" t="s">
        <v>83</v>
      </c>
      <c r="D10" s="13">
        <v>7</v>
      </c>
      <c r="E10" s="5" t="str" cm="1">
        <f t="array" ref="E10">_xlfn.IFS(D10&lt;=3,"Fast",D10&lt;=5,"Normal",D10&lt;=7,"Slow",D10&gt;=7,"Delayed")</f>
        <v>Slow</v>
      </c>
    </row>
    <row r="11" spans="3:8">
      <c r="C11" s="13" t="s">
        <v>84</v>
      </c>
      <c r="D11" s="13">
        <v>1</v>
      </c>
      <c r="E11" s="5" t="str" cm="1">
        <f t="array" ref="E11">_xlfn.IFS(D11&lt;=3,"Fast",D11&lt;=5,"Normal",D11&lt;=7,"Slow",D11&gt;=7,"Delayed")</f>
        <v>Fast</v>
      </c>
    </row>
    <row r="12" spans="3:8">
      <c r="C12" s="13" t="s">
        <v>85</v>
      </c>
      <c r="D12" s="13">
        <v>5</v>
      </c>
      <c r="E12" s="5" t="str" cm="1">
        <f t="array" ref="E12">_xlfn.IFS(D12&lt;=3,"Fast",D12&lt;=5,"Normal",D12&lt;=7,"Slow",D12&gt;=7,"Delayed")</f>
        <v>Normal</v>
      </c>
    </row>
    <row r="13" spans="3:8">
      <c r="C13" s="13" t="s">
        <v>86</v>
      </c>
      <c r="D13" s="13">
        <v>10</v>
      </c>
      <c r="E13" s="5" t="str" cm="1">
        <f t="array" ref="E13">_xlfn.IFS(D13&lt;=3,"Fast",D13&lt;=5,"Normal",D13&lt;=7,"Slow",D13&gt;=7,"Delayed")</f>
        <v>Delayed</v>
      </c>
    </row>
    <row r="14" spans="3:8">
      <c r="C14" s="13" t="s">
        <v>87</v>
      </c>
      <c r="D14" s="13">
        <v>6</v>
      </c>
      <c r="E14" s="5" t="str" cm="1">
        <f t="array" ref="E14">_xlfn.IFS(D14&lt;=3,"Fast",D14&lt;=5,"Normal",D14&lt;=7,"Slow",D14&gt;=7,"Delayed")</f>
        <v>Slow</v>
      </c>
    </row>
    <row r="15" spans="3:8">
      <c r="C15" s="13" t="s">
        <v>88</v>
      </c>
      <c r="D15" s="13">
        <v>4</v>
      </c>
      <c r="E15" s="5" t="str" cm="1">
        <f t="array" ref="E15">_xlfn.IFS(D15&lt;=3,"Fast",D15&lt;=5,"Normal",D15&lt;=7,"Slow",D15&gt;=7,"Delayed")</f>
        <v>Normal</v>
      </c>
    </row>
    <row r="16" spans="3:8">
      <c r="C16" s="13" t="s">
        <v>89</v>
      </c>
      <c r="D16" s="13">
        <v>2</v>
      </c>
      <c r="E16" s="5" t="str" cm="1">
        <f t="array" ref="E16">_xlfn.IFS(D16&lt;=3,"Fast",D16&lt;=5,"Normal",D16&lt;=7,"Slow",D16&gt;=7,"Delayed")</f>
        <v>Fast</v>
      </c>
    </row>
    <row r="17" spans="3:5">
      <c r="C17" s="13" t="s">
        <v>90</v>
      </c>
      <c r="D17" s="13">
        <v>9</v>
      </c>
      <c r="E17" s="5" t="str" cm="1">
        <f t="array" ref="E17">_xlfn.IFS(D17&lt;=3,"Fast",D17&lt;=5,"Normal",D17&lt;=7,"Slow",D17&gt;=7,"Delayed")</f>
        <v>Delayed</v>
      </c>
    </row>
    <row r="18" spans="3:5">
      <c r="C18" s="13" t="s">
        <v>91</v>
      </c>
      <c r="D18" s="13">
        <v>3</v>
      </c>
      <c r="E18" s="5" t="str" cm="1">
        <f t="array" ref="E18">_xlfn.IFS(D18&lt;=3,"Fast",D18&lt;=5,"Normal",D18&lt;=7,"Slow",D18&gt;=7,"Delayed")</f>
        <v>Fast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9C6E-FC83-4C93-9169-807555C60318}">
  <dimension ref="C1:J14"/>
  <sheetViews>
    <sheetView workbookViewId="0">
      <selection activeCell="F5" sqref="F5"/>
    </sheetView>
  </sheetViews>
  <sheetFormatPr defaultRowHeight="14.4"/>
  <sheetData>
    <row r="1" spans="3:10" ht="23.4">
      <c r="C1" s="12" t="s">
        <v>118</v>
      </c>
    </row>
    <row r="4" spans="3:10" ht="28.8">
      <c r="C4" s="16" t="s">
        <v>54</v>
      </c>
      <c r="D4" s="16" t="s">
        <v>57</v>
      </c>
      <c r="E4" s="16" t="s">
        <v>58</v>
      </c>
      <c r="F4" s="16" t="s">
        <v>102</v>
      </c>
      <c r="J4" s="18" t="s">
        <v>117</v>
      </c>
    </row>
    <row r="5" spans="3:10">
      <c r="C5" s="13" t="s">
        <v>103</v>
      </c>
      <c r="D5" s="13" t="s">
        <v>65</v>
      </c>
      <c r="E5" s="13">
        <v>8500</v>
      </c>
      <c r="F5" s="5" t="str" cm="1">
        <f t="array" ref="F5">_xlfn.IFS(E5&lt;=8000,"Low",E5&lt;=12000,"Medium",E5&lt;=18000,"High",E5&gt;18000,"Very High")</f>
        <v>Medium</v>
      </c>
      <c r="J5" s="19" t="s">
        <v>113</v>
      </c>
    </row>
    <row r="6" spans="3:10">
      <c r="C6" s="13" t="s">
        <v>104</v>
      </c>
      <c r="D6" s="13" t="s">
        <v>71</v>
      </c>
      <c r="E6" s="13">
        <v>9500</v>
      </c>
      <c r="F6" s="5" t="str" cm="1">
        <f t="array" ref="F6">_xlfn.IFS(E6&lt;=8000,"Low",E6&lt;=12000,"Medium",E6&lt;=18000,"High",E6&gt;18000,"Very High")</f>
        <v>Medium</v>
      </c>
      <c r="J6" s="19" t="s">
        <v>114</v>
      </c>
    </row>
    <row r="7" spans="3:10">
      <c r="C7" s="13" t="s">
        <v>105</v>
      </c>
      <c r="D7" s="13" t="s">
        <v>79</v>
      </c>
      <c r="E7" s="13">
        <v>18000</v>
      </c>
      <c r="F7" s="5" t="str" cm="1">
        <f t="array" ref="F7">_xlfn.IFS(E7&lt;=8000,"Low",E7&lt;=12000,"Medium",E7&lt;=18000,"High",E7&gt;18000,"Very High")</f>
        <v>High</v>
      </c>
      <c r="J7" s="19" t="s">
        <v>115</v>
      </c>
    </row>
    <row r="8" spans="3:10">
      <c r="C8" s="13" t="s">
        <v>106</v>
      </c>
      <c r="D8" s="13" t="s">
        <v>65</v>
      </c>
      <c r="E8" s="13">
        <v>12000</v>
      </c>
      <c r="F8" s="5" t="str" cm="1">
        <f t="array" ref="F8">_xlfn.IFS(E8&lt;=8000,"Low",E8&lt;=12000,"Medium",E8&lt;=18000,"High",E8&gt;18000,"Very High")</f>
        <v>Medium</v>
      </c>
      <c r="J8" s="19" t="s">
        <v>116</v>
      </c>
    </row>
    <row r="9" spans="3:10">
      <c r="C9" s="13" t="s">
        <v>107</v>
      </c>
      <c r="D9" s="13" t="s">
        <v>79</v>
      </c>
      <c r="E9" s="13">
        <v>22000</v>
      </c>
      <c r="F9" s="5" t="str" cm="1">
        <f t="array" ref="F9">_xlfn.IFS(E9&lt;=8000,"Low",E9&lt;=12000,"Medium",E9&lt;=18000,"High",E9&gt;18000,"Very High")</f>
        <v>Very High</v>
      </c>
    </row>
    <row r="10" spans="3:10">
      <c r="C10" s="13" t="s">
        <v>108</v>
      </c>
      <c r="D10" s="13" t="s">
        <v>71</v>
      </c>
      <c r="E10" s="13">
        <v>10000</v>
      </c>
      <c r="F10" s="5" t="str" cm="1">
        <f t="array" ref="F10">_xlfn.IFS(E10&lt;=8000,"Low",E10&lt;=12000,"Medium",E10&lt;=18000,"High",E10&gt;18000,"Very High")</f>
        <v>Medium</v>
      </c>
      <c r="J10" s="9"/>
    </row>
    <row r="11" spans="3:10">
      <c r="C11" s="13" t="s">
        <v>109</v>
      </c>
      <c r="D11" s="13" t="s">
        <v>65</v>
      </c>
      <c r="E11" s="13">
        <v>7000</v>
      </c>
      <c r="F11" s="5" t="str" cm="1">
        <f t="array" ref="F11">_xlfn.IFS(E11&lt;=8000,"Low",E11&lt;=12000,"Medium",E11&lt;=18000,"High",E11&gt;18000,"Very High")</f>
        <v>Low</v>
      </c>
    </row>
    <row r="12" spans="3:10">
      <c r="C12" s="13" t="s">
        <v>110</v>
      </c>
      <c r="D12" s="13" t="s">
        <v>79</v>
      </c>
      <c r="E12" s="13">
        <v>15000</v>
      </c>
      <c r="F12" s="5" t="str" cm="1">
        <f t="array" ref="F12">_xlfn.IFS(E12&lt;=8000,"Low",E12&lt;=12000,"Medium",E12&lt;=18000,"High",E12&gt;18000,"Very High")</f>
        <v>High</v>
      </c>
    </row>
    <row r="13" spans="3:10">
      <c r="C13" s="13" t="s">
        <v>111</v>
      </c>
      <c r="D13" s="13" t="s">
        <v>71</v>
      </c>
      <c r="E13" s="13">
        <v>8000</v>
      </c>
      <c r="F13" s="5" t="str" cm="1">
        <f t="array" ref="F13">_xlfn.IFS(E13&lt;=8000,"Low",E13&lt;=12000,"Medium",E13&lt;=18000,"High",E13&gt;18000,"Very High")</f>
        <v>Low</v>
      </c>
    </row>
    <row r="14" spans="3:10">
      <c r="C14" s="13" t="s">
        <v>112</v>
      </c>
      <c r="D14" s="13" t="s">
        <v>65</v>
      </c>
      <c r="E14" s="13">
        <v>13000</v>
      </c>
      <c r="F14" s="5" t="str" cm="1">
        <f t="array" ref="F14">_xlfn.IFS(E14&lt;=8000,"Low",E14&lt;=12000,"Medium",E14&lt;=18000,"High",E14&gt;18000,"Very High")</f>
        <v>High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L21"/>
  <sheetViews>
    <sheetView workbookViewId="0">
      <selection activeCell="L18" sqref="L18"/>
    </sheetView>
  </sheetViews>
  <sheetFormatPr defaultColWidth="9.109375" defaultRowHeight="14.4"/>
  <cols>
    <col min="1" max="11" width="9.109375" style="1"/>
    <col min="12" max="12" width="10.5546875" style="1" bestFit="1" customWidth="1"/>
    <col min="13" max="16384" width="9.109375" style="1"/>
  </cols>
  <sheetData>
    <row r="1" spans="1:1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1" t="s">
        <v>50</v>
      </c>
    </row>
    <row r="2" spans="1:12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>C2+D2+E2</f>
        <v>164</v>
      </c>
      <c r="G2" s="5" t="str">
        <f>IF(AND(C2&gt;50,D2&gt;50),"Good","Normal")</f>
        <v>Normal</v>
      </c>
      <c r="H2" s="1" t="str" cm="1">
        <f t="array" ref="H2">_xlfn.IFS(F2&gt;=225,"A+",F2&gt;=180,"B+",F2&gt;=120,"C+",F2&gt;=80,"D+",F2&gt;=50,"E+",F2&gt;=0,"FAIL")</f>
        <v>C+</v>
      </c>
      <c r="I2" s="1" t="str" cm="1">
        <f t="array" ref="I2">_xlfn.IFS(F2&gt;=225,"A+",F2&gt;=180,"B+",F2&gt;=120,"C+",F2&gt;=80,"D+",F2&gt;=50,"E+",F2&gt;=0,"Fail")</f>
        <v>C+</v>
      </c>
    </row>
    <row r="3" spans="1:12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ref="F3:F21" si="0">C3+D3+E3</f>
        <v>227</v>
      </c>
      <c r="G3" s="5" t="str">
        <f t="shared" ref="G3:G21" si="1">IF(AND(C3&gt;50,D3&gt;50),"Good","Normal")</f>
        <v>Normal</v>
      </c>
      <c r="H3" s="1" t="str" cm="1">
        <f t="array" ref="H3">_xlfn.IFS(F3&gt;=225,"A+",F3&gt;=180,"B+",F3&gt;=120,"C+",F3&gt;=80,"D+",F3&gt;=50,"E+",F3&gt;=0,"FAIL")</f>
        <v>A+</v>
      </c>
      <c r="I3" s="1" t="str" cm="1">
        <f t="array" ref="I3">_xlfn.IFS(F3&gt;=225,"A+",F3&gt;=180,"B+",F3&gt;=120,"C+",F3&gt;=80,"D+",F3&gt;=50,"E+",F3&gt;=0,"Fail")</f>
        <v>A+</v>
      </c>
    </row>
    <row r="4" spans="1:12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5" t="str">
        <f t="shared" si="1"/>
        <v>Normal</v>
      </c>
      <c r="H4" s="1" t="str" cm="1">
        <f t="array" ref="H4">_xlfn.IFS(F4&gt;=225,"A+",F4&gt;=180,"B+",F4&gt;=120,"C+",F4&gt;=80,"D+",F4&gt;=50,"E+",F4&gt;=0,"FAIL")</f>
        <v>C+</v>
      </c>
      <c r="I4" s="1" t="str" cm="1">
        <f t="array" ref="I4">_xlfn.IFS(F4&gt;=225,"A+",F4&gt;=180,"B+",F4&gt;=120,"C+",F4&gt;=80,"D+",F4&gt;=50,"E+",F4&gt;=0,"Fail")</f>
        <v>C+</v>
      </c>
      <c r="K4" s="6" t="s">
        <v>7</v>
      </c>
      <c r="L4" s="6" t="s">
        <v>10</v>
      </c>
    </row>
    <row r="5" spans="1:12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5" t="str">
        <f t="shared" si="1"/>
        <v>Good</v>
      </c>
      <c r="H5" s="1" t="str" cm="1">
        <f t="array" ref="H5">_xlfn.IFS(F5&gt;=225,"A+",F5&gt;=180,"B+",F5&gt;=120,"C+",F5&gt;=80,"D+",F5&gt;=50,"E+",F5&gt;=0,"FAIL")</f>
        <v>C+</v>
      </c>
      <c r="I5" s="1" t="str" cm="1">
        <f t="array" ref="I5">_xlfn.IFS(F5&gt;=225,"A+",F5&gt;=180,"B+",F5&gt;=120,"C+",F5&gt;=80,"D+",F5&gt;=50,"E+",F5&gt;=0,"Fail")</f>
        <v>C+</v>
      </c>
      <c r="K5" s="6"/>
      <c r="L5" s="6"/>
    </row>
    <row r="6" spans="1:12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5" t="str">
        <f t="shared" si="1"/>
        <v>Normal</v>
      </c>
      <c r="H6" s="1" t="str" cm="1">
        <f t="array" ref="H6">_xlfn.IFS(F6&gt;=225,"A+",F6&gt;=180,"B+",F6&gt;=120,"C+",F6&gt;=80,"D+",F6&gt;=50,"E+",F6&gt;=0,"FAIL")</f>
        <v>C+</v>
      </c>
      <c r="I6" s="1" t="str" cm="1">
        <f t="array" ref="I6">_xlfn.IFS(F6&gt;=225,"A+",F6&gt;=180,"B+",F6&gt;=120,"C+",F6&gt;=80,"D+",F6&gt;=50,"E+",F6&gt;=0,"Fail")</f>
        <v>C+</v>
      </c>
      <c r="K6" s="6" t="s">
        <v>15</v>
      </c>
      <c r="L6" s="6" t="s">
        <v>16</v>
      </c>
    </row>
    <row r="7" spans="1:12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5" t="str">
        <f t="shared" si="1"/>
        <v>Good</v>
      </c>
      <c r="H7" s="1" t="str" cm="1">
        <f t="array" ref="H7">_xlfn.IFS(F7&gt;=225,"A+",F7&gt;=180,"B+",F7&gt;=120,"C+",F7&gt;=80,"D+",F7&gt;=50,"E+",F7&gt;=0,"FAIL")</f>
        <v>C+</v>
      </c>
      <c r="I7" s="1" t="str" cm="1">
        <f t="array" ref="I7">_xlfn.IFS(F7&gt;=225,"A+",F7&gt;=180,"B+",F7&gt;=120,"C+",F7&gt;=80,"D+",F7&gt;=50,"E+",F7&gt;=0,"Fail")</f>
        <v>C+</v>
      </c>
      <c r="K7" s="6" t="s">
        <v>18</v>
      </c>
      <c r="L7" s="7" t="s">
        <v>19</v>
      </c>
    </row>
    <row r="8" spans="1:12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5" t="str">
        <f t="shared" si="1"/>
        <v>Normal</v>
      </c>
      <c r="H8" s="1" t="str" cm="1">
        <f t="array" ref="H8">_xlfn.IFS(F8&gt;=225,"A+",F8&gt;=180,"B+",F8&gt;=120,"C+",F8&gt;=80,"D+",F8&gt;=50,"E+",F8&gt;=0,"FAIL")</f>
        <v>C+</v>
      </c>
      <c r="I8" s="1" t="str" cm="1">
        <f t="array" ref="I8">_xlfn.IFS(F8&gt;=225,"A+",F8&gt;=180,"B+",F8&gt;=120,"C+",F8&gt;=80,"D+",F8&gt;=50,"E+",F8&gt;=0,"Fail")</f>
        <v>C+</v>
      </c>
      <c r="K8" s="6" t="s">
        <v>22</v>
      </c>
      <c r="L8" s="7" t="s">
        <v>23</v>
      </c>
    </row>
    <row r="9" spans="1:12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5" t="str">
        <f t="shared" si="1"/>
        <v>Good</v>
      </c>
      <c r="H9" s="1" t="str" cm="1">
        <f t="array" ref="H9">_xlfn.IFS(F9&gt;=225,"A+",F9&gt;=180,"B+",F9&gt;=120,"C+",F9&gt;=80,"D+",F9&gt;=50,"E+",F9&gt;=0,"FAIL")</f>
        <v>B+</v>
      </c>
      <c r="I9" s="1" t="str" cm="1">
        <f t="array" ref="I9">_xlfn.IFS(F9&gt;=225,"A+",F9&gt;=180,"B+",F9&gt;=120,"C+",F9&gt;=80,"D+",F9&gt;=50,"E+",F9&gt;=0,"Fail")</f>
        <v>B+</v>
      </c>
      <c r="K9" s="6" t="s">
        <v>25</v>
      </c>
      <c r="L9" s="6" t="s">
        <v>26</v>
      </c>
    </row>
    <row r="10" spans="1:12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5" t="str">
        <f t="shared" si="1"/>
        <v>Good</v>
      </c>
      <c r="H10" s="1" t="str" cm="1">
        <f t="array" ref="H10">_xlfn.IFS(F10&gt;=225,"A+",F10&gt;=180,"B+",F10&gt;=120,"C+",F10&gt;=80,"D+",F10&gt;=50,"E+",F10&gt;=0,"FAIL")</f>
        <v>B+</v>
      </c>
      <c r="I10" s="1" t="str" cm="1">
        <f t="array" ref="I10">_xlfn.IFS(F10&gt;=225,"A+",F10&gt;=180,"B+",F10&gt;=120,"C+",F10&gt;=80,"D+",F10&gt;=50,"E+",F10&gt;=0,"Fail")</f>
        <v>B+</v>
      </c>
      <c r="K10" s="6" t="s">
        <v>29</v>
      </c>
      <c r="L10" s="6" t="s">
        <v>30</v>
      </c>
    </row>
    <row r="11" spans="1:12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5" t="str">
        <f t="shared" si="1"/>
        <v>Normal</v>
      </c>
      <c r="H11" s="1" t="str" cm="1">
        <f t="array" ref="H11">_xlfn.IFS(F11&gt;=225,"A+",F11&gt;=180,"B+",F11&gt;=120,"C+",F11&gt;=80,"D+",F11&gt;=50,"E+",F11&gt;=0,"FAIL")</f>
        <v>B+</v>
      </c>
      <c r="I11" s="1" t="str" cm="1">
        <f t="array" ref="I11">_xlfn.IFS(F11&gt;=225,"A+",F11&gt;=180,"B+",F11&gt;=120,"C+",F11&gt;=80,"D+",F11&gt;=50,"E+",F11&gt;=0,"Fail")</f>
        <v>B+</v>
      </c>
      <c r="K11" s="6" t="s">
        <v>32</v>
      </c>
      <c r="L11" s="6" t="s">
        <v>33</v>
      </c>
    </row>
    <row r="12" spans="1:12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5" t="str">
        <f t="shared" si="1"/>
        <v>Normal</v>
      </c>
      <c r="H12" s="1" t="str" cm="1">
        <f t="array" ref="H12">_xlfn.IFS(F12&gt;=225,"A+",F12&gt;=180,"B+",F12&gt;=120,"C+",F12&gt;=80,"D+",F12&gt;=50,"E+",F12&gt;=0,"FAIL")</f>
        <v>C+</v>
      </c>
      <c r="I12" s="1" t="str" cm="1">
        <f t="array" ref="I12">_xlfn.IFS(F12&gt;=225,"A+",F12&gt;=180,"B+",F12&gt;=120,"C+",F12&gt;=80,"D+",F12&gt;=50,"E+",F12&gt;=0,"Fail")</f>
        <v>C+</v>
      </c>
    </row>
    <row r="13" spans="1:12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5" t="str">
        <f t="shared" si="1"/>
        <v>Good</v>
      </c>
      <c r="H13" s="1" t="str" cm="1">
        <f t="array" ref="H13">_xlfn.IFS(F13&gt;=225,"A+",F13&gt;=180,"B+",F13&gt;=120,"C+",F13&gt;=80,"D+",F13&gt;=50,"E+",F13&gt;=0,"FAIL")</f>
        <v>A+</v>
      </c>
      <c r="I13" s="1" t="str" cm="1">
        <f t="array" ref="I13">_xlfn.IFS(F13&gt;=225,"A+",F13&gt;=180,"B+",F13&gt;=120,"C+",F13&gt;=80,"D+",F13&gt;=50,"E+",F13&gt;=0,"Fail")</f>
        <v>A+</v>
      </c>
    </row>
    <row r="14" spans="1:12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5" t="str">
        <f t="shared" si="1"/>
        <v>Good</v>
      </c>
      <c r="H14" s="1" t="str" cm="1">
        <f t="array" ref="H14">_xlfn.IFS(F14&gt;=225,"A+",F14&gt;=180,"B+",F14&gt;=120,"C+",F14&gt;=80,"D+",F14&gt;=50,"E+",F14&gt;=0,"FAIL")</f>
        <v>A+</v>
      </c>
      <c r="I14" s="1" t="str" cm="1">
        <f t="array" ref="I14">_xlfn.IFS(F14&gt;=225,"A+",F14&gt;=180,"B+",F14&gt;=120,"C+",F14&gt;=80,"D+",F14&gt;=50,"E+",F14&gt;=0,"Fail")</f>
        <v>A+</v>
      </c>
    </row>
    <row r="15" spans="1:12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5" t="str">
        <f t="shared" si="1"/>
        <v>Normal</v>
      </c>
      <c r="H15" s="1" t="str" cm="1">
        <f t="array" ref="H15">_xlfn.IFS(F15&gt;=225,"A+",F15&gt;=180,"B+",F15&gt;=120,"C+",F15&gt;=80,"D+",F15&gt;=50,"E+",F15&gt;=0,"FAIL")</f>
        <v>C+</v>
      </c>
      <c r="I15" s="1" t="str" cm="1">
        <f t="array" ref="I15">_xlfn.IFS(F15&gt;=225,"A+",F15&gt;=180,"B+",F15&gt;=120,"C+",F15&gt;=80,"D+",F15&gt;=50,"E+",F15&gt;=0,"Fail")</f>
        <v>C+</v>
      </c>
    </row>
    <row r="16" spans="1:12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5" t="str">
        <f t="shared" si="1"/>
        <v>Normal</v>
      </c>
      <c r="H16" s="1" t="str" cm="1">
        <f t="array" ref="H16">_xlfn.IFS(F16&gt;=225,"A+",F16&gt;=180,"B+",F16&gt;=120,"C+",F16&gt;=80,"D+",F16&gt;=50,"E+",F16&gt;=0,"FAIL")</f>
        <v>B+</v>
      </c>
      <c r="I16" s="1" t="str" cm="1">
        <f t="array" ref="I16">_xlfn.IFS(F16&gt;=225,"A+",F16&gt;=180,"B+",F16&gt;=120,"C+",F16&gt;=80,"D+",F16&gt;=50,"E+",F16&gt;=0,"Fail")</f>
        <v>B+</v>
      </c>
    </row>
    <row r="17" spans="1:9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5" t="str">
        <f t="shared" si="1"/>
        <v>Good</v>
      </c>
      <c r="H17" s="1" t="str" cm="1">
        <f t="array" ref="H17">_xlfn.IFS(F17&gt;=225,"A+",F17&gt;=180,"B+",F17&gt;=120,"C+",F17&gt;=80,"D+",F17&gt;=50,"E+",F17&gt;=0,"FAIL")</f>
        <v>A+</v>
      </c>
      <c r="I17" s="1" t="str" cm="1">
        <f t="array" ref="I17">_xlfn.IFS(F17&gt;=225,"A+",F17&gt;=180,"B+",F17&gt;=120,"C+",F17&gt;=80,"D+",F17&gt;=50,"E+",F17&gt;=0,"Fail")</f>
        <v>A+</v>
      </c>
    </row>
    <row r="18" spans="1:9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5" t="str">
        <f t="shared" si="1"/>
        <v>Good</v>
      </c>
      <c r="H18" s="1" t="str" cm="1">
        <f t="array" ref="H18">_xlfn.IFS(F18&gt;=225,"A+",F18&gt;=180,"B+",F18&gt;=120,"C+",F18&gt;=80,"D+",F18&gt;=50,"E+",F18&gt;=0,"FAIL")</f>
        <v>A+</v>
      </c>
      <c r="I18" s="1" t="str" cm="1">
        <f t="array" ref="I18">_xlfn.IFS(F18&gt;=225,"A+",F18&gt;=180,"B+",F18&gt;=120,"C+",F18&gt;=80,"D+",F18&gt;=50,"E+",F18&gt;=0,"Fail")</f>
        <v>A+</v>
      </c>
    </row>
    <row r="19" spans="1:9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5" t="str">
        <f t="shared" si="1"/>
        <v>Normal</v>
      </c>
      <c r="H19" s="1" t="str" cm="1">
        <f t="array" ref="H19">_xlfn.IFS(F19&gt;=225,"A+",F19&gt;=180,"B+",F19&gt;=120,"C+",F19&gt;=80,"D+",F19&gt;=50,"E+",F19&gt;=0,"FAIL")</f>
        <v>B+</v>
      </c>
      <c r="I19" s="1" t="str" cm="1">
        <f t="array" ref="I19">_xlfn.IFS(F19&gt;=225,"A+",F19&gt;=180,"B+",F19&gt;=120,"C+",F19&gt;=80,"D+",F19&gt;=50,"E+",F19&gt;=0,"Fail")</f>
        <v>B+</v>
      </c>
    </row>
    <row r="20" spans="1:9">
      <c r="A20" s="4" t="s">
        <v>45</v>
      </c>
      <c r="B20" s="4" t="s">
        <v>28</v>
      </c>
      <c r="C20" s="4">
        <v>0</v>
      </c>
      <c r="D20" s="4">
        <v>0</v>
      </c>
      <c r="E20" s="4">
        <v>12</v>
      </c>
      <c r="F20" s="1">
        <f t="shared" si="0"/>
        <v>12</v>
      </c>
      <c r="G20" s="5" t="str">
        <f t="shared" si="1"/>
        <v>Normal</v>
      </c>
      <c r="H20" s="1" t="str" cm="1">
        <f t="array" ref="H20">_xlfn.IFS(F20&gt;=225,"A+",F20&gt;=180,"B+",F20&gt;=120,"C+",F20&gt;=80,"D+",F20&gt;=50,"E+",F20&gt;=0,"FAIL")</f>
        <v>FAIL</v>
      </c>
      <c r="I20" s="1" t="str" cm="1">
        <f t="array" ref="I20">_xlfn.IFS(F20&gt;=225,"A+",F20&gt;=180,"B+",F20&gt;=120,"C+",F20&gt;=80,"D+",F20&gt;=50,"E+",F20&gt;=0,"Fail")</f>
        <v>Fail</v>
      </c>
    </row>
    <row r="21" spans="1:9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5" t="str">
        <f t="shared" si="1"/>
        <v>Normal</v>
      </c>
      <c r="H21" s="1" t="str" cm="1">
        <f t="array" ref="H21">_xlfn.IFS(F21&gt;=225,"A+",F21&gt;=180,"B+",F21&gt;=120,"C+",F21&gt;=80,"D+",F21&gt;=50,"E+",F21&gt;=0,"FAIL")</f>
        <v>B+</v>
      </c>
      <c r="I21" s="1" t="str" cm="1">
        <f t="array" ref="I21">_xlfn.IFS(F21&gt;=225,"A+",F21&gt;=180,"B+",F21&gt;=120,"C+",F21&gt;=80,"D+",F21&gt;=50,"E+",F21&gt;=0,"Fail")</f>
        <v>B+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S21"/>
  <sheetViews>
    <sheetView workbookViewId="0">
      <selection activeCell="G2" sqref="G2"/>
    </sheetView>
  </sheetViews>
  <sheetFormatPr defaultColWidth="9.109375" defaultRowHeight="14.4"/>
  <cols>
    <col min="1" max="1" width="10.33203125" style="1" bestFit="1" customWidth="1"/>
    <col min="2" max="2" width="13.88671875" style="1" bestFit="1" customWidth="1"/>
    <col min="3" max="3" width="11.6640625" style="1" customWidth="1"/>
    <col min="4" max="4" width="13.5546875" style="1" customWidth="1"/>
    <col min="5" max="5" width="14" style="1" customWidth="1"/>
    <col min="6" max="6" width="11.33203125" style="1" customWidth="1"/>
    <col min="7" max="7" width="18.44140625" style="14" customWidth="1"/>
    <col min="8" max="10" width="9.109375" style="1"/>
    <col min="11" max="11" width="10.88671875" style="1" customWidth="1"/>
    <col min="12" max="19" width="9.109375" style="1"/>
  </cols>
  <sheetData>
    <row r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3" t="s">
        <v>51</v>
      </c>
    </row>
    <row r="2" spans="1:11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>C2+D2+E2</f>
        <v>164</v>
      </c>
      <c r="G2" s="24" t="str">
        <f>IF(AND(C2&gt;50,D2&gt;50),"Good","Avarage")</f>
        <v>Avarage</v>
      </c>
    </row>
    <row r="3" spans="1:11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ref="F3:F21" si="0">C3+D3+E3</f>
        <v>227</v>
      </c>
      <c r="G3" s="24" t="str">
        <f t="shared" ref="G3:G21" si="1">IF(AND(C3&gt;50,D3&gt;50),"Good","Avarage")</f>
        <v>Avarage</v>
      </c>
    </row>
    <row r="4" spans="1:11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24" t="str">
        <f t="shared" si="1"/>
        <v>Avarage</v>
      </c>
    </row>
    <row r="5" spans="1:11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24" t="str">
        <f t="shared" si="1"/>
        <v>Good</v>
      </c>
      <c r="K5" s="22"/>
    </row>
    <row r="6" spans="1:11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24" t="str">
        <f t="shared" si="1"/>
        <v>Avarage</v>
      </c>
      <c r="K6" s="22"/>
    </row>
    <row r="7" spans="1:11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24" t="str">
        <f t="shared" si="1"/>
        <v>Good</v>
      </c>
    </row>
    <row r="8" spans="1:11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24" t="str">
        <f t="shared" si="1"/>
        <v>Avarage</v>
      </c>
    </row>
    <row r="9" spans="1:11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24" t="str">
        <f t="shared" si="1"/>
        <v>Good</v>
      </c>
    </row>
    <row r="10" spans="1:11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24" t="str">
        <f t="shared" si="1"/>
        <v>Good</v>
      </c>
    </row>
    <row r="11" spans="1:11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24" t="str">
        <f t="shared" si="1"/>
        <v>Avarage</v>
      </c>
    </row>
    <row r="12" spans="1:11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24" t="str">
        <f t="shared" si="1"/>
        <v>Avarage</v>
      </c>
      <c r="J12" s="8"/>
    </row>
    <row r="13" spans="1:11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24" t="str">
        <f t="shared" si="1"/>
        <v>Good</v>
      </c>
    </row>
    <row r="14" spans="1:11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24" t="str">
        <f t="shared" si="1"/>
        <v>Good</v>
      </c>
    </row>
    <row r="15" spans="1:11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24" t="str">
        <f t="shared" si="1"/>
        <v>Avarage</v>
      </c>
    </row>
    <row r="16" spans="1:11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24" t="str">
        <f t="shared" si="1"/>
        <v>Avarage</v>
      </c>
    </row>
    <row r="17" spans="1:7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24" t="str">
        <f t="shared" si="1"/>
        <v>Good</v>
      </c>
    </row>
    <row r="18" spans="1:7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24" t="str">
        <f t="shared" si="1"/>
        <v>Good</v>
      </c>
    </row>
    <row r="19" spans="1:7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24" t="str">
        <f t="shared" si="1"/>
        <v>Avarage</v>
      </c>
    </row>
    <row r="20" spans="1:7">
      <c r="A20" s="4" t="s">
        <v>45</v>
      </c>
      <c r="B20" s="4" t="s">
        <v>28</v>
      </c>
      <c r="C20" s="4">
        <v>0</v>
      </c>
      <c r="D20" s="4">
        <v>0</v>
      </c>
      <c r="E20" s="4">
        <v>12</v>
      </c>
      <c r="F20" s="1">
        <f t="shared" si="0"/>
        <v>12</v>
      </c>
      <c r="G20" s="24" t="str">
        <f t="shared" si="1"/>
        <v>Avarage</v>
      </c>
    </row>
    <row r="21" spans="1:7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24" t="str">
        <f t="shared" si="1"/>
        <v>Avarage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D4A9-E5F2-4817-8ADB-495340C3A67D}">
  <dimension ref="A1"/>
  <sheetViews>
    <sheetView workbookViewId="0">
      <selection activeCell="Q7" sqref="Q7"/>
    </sheetView>
  </sheetViews>
  <sheetFormatPr defaultRowHeight="14.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784C-C010-449C-8C4D-E741C9901B95}">
  <dimension ref="A1:X18"/>
  <sheetViews>
    <sheetView topLeftCell="A2" workbookViewId="0">
      <selection activeCell="L4" sqref="L4"/>
    </sheetView>
  </sheetViews>
  <sheetFormatPr defaultRowHeight="14.4"/>
  <sheetData>
    <row r="1" spans="1:24" ht="25.8">
      <c r="D1" s="32" t="s">
        <v>100</v>
      </c>
    </row>
    <row r="3" spans="1:24" ht="57.6">
      <c r="A3" s="16" t="s">
        <v>54</v>
      </c>
      <c r="B3" s="16" t="s">
        <v>125</v>
      </c>
      <c r="C3" s="16" t="s">
        <v>56</v>
      </c>
      <c r="D3" s="16" t="s">
        <v>57</v>
      </c>
      <c r="E3" s="16" t="s">
        <v>126</v>
      </c>
      <c r="F3" s="16" t="s">
        <v>58</v>
      </c>
      <c r="G3" s="16" t="s">
        <v>59</v>
      </c>
      <c r="H3" s="16" t="s">
        <v>60</v>
      </c>
      <c r="I3" s="16" t="s">
        <v>127</v>
      </c>
      <c r="J3" s="16" t="s">
        <v>61</v>
      </c>
      <c r="K3" s="16" t="s">
        <v>128</v>
      </c>
      <c r="L3" s="17" t="s">
        <v>149</v>
      </c>
      <c r="M3" s="17" t="s">
        <v>151</v>
      </c>
    </row>
    <row r="4" spans="1:24">
      <c r="A4" s="28" t="s">
        <v>8</v>
      </c>
      <c r="B4" s="28" t="s">
        <v>129</v>
      </c>
      <c r="C4" s="28" t="s">
        <v>69</v>
      </c>
      <c r="D4" s="28" t="s">
        <v>79</v>
      </c>
      <c r="E4" s="28" t="s">
        <v>130</v>
      </c>
      <c r="F4" s="28">
        <v>18000</v>
      </c>
      <c r="G4" s="28">
        <v>6</v>
      </c>
      <c r="H4" s="28" t="s">
        <v>72</v>
      </c>
      <c r="I4" s="28" t="s">
        <v>131</v>
      </c>
      <c r="J4" s="28" t="s">
        <v>67</v>
      </c>
      <c r="K4" s="28">
        <v>42</v>
      </c>
      <c r="L4" s="14" t="str">
        <f>IF(AND(B4="North",H4="Pending"),"Follow Up","Ok")</f>
        <v>Follow Up</v>
      </c>
      <c r="M4" s="14" t="str">
        <f>IF(AND(D4="Air",G4&gt;5),"Delayed","Sheduled")</f>
        <v>Delayed</v>
      </c>
      <c r="O4" s="43" t="s">
        <v>148</v>
      </c>
      <c r="P4" s="43"/>
      <c r="Q4" s="43"/>
      <c r="R4" s="43"/>
      <c r="S4" s="43"/>
      <c r="T4" s="43"/>
      <c r="U4" s="43"/>
      <c r="V4" s="43"/>
      <c r="W4" s="43"/>
    </row>
    <row r="5" spans="1:24" ht="28.8">
      <c r="A5" s="28" t="s">
        <v>11</v>
      </c>
      <c r="B5" s="28" t="s">
        <v>132</v>
      </c>
      <c r="C5" s="28" t="s">
        <v>75</v>
      </c>
      <c r="D5" s="28" t="s">
        <v>65</v>
      </c>
      <c r="E5" s="28" t="s">
        <v>133</v>
      </c>
      <c r="F5" s="28">
        <v>9500</v>
      </c>
      <c r="G5" s="28">
        <v>4</v>
      </c>
      <c r="H5" s="28" t="s">
        <v>66</v>
      </c>
      <c r="I5" s="28" t="s">
        <v>134</v>
      </c>
      <c r="J5" s="28" t="s">
        <v>73</v>
      </c>
      <c r="K5" s="28">
        <v>36</v>
      </c>
      <c r="L5" s="14" t="str">
        <f t="shared" ref="L5:L18" si="0">IF(AND(B5="North",H5="Pending"),"Follow Up","Ok")</f>
        <v>Ok</v>
      </c>
      <c r="M5" s="14" t="str">
        <f t="shared" ref="M5:M18" si="1">IF(AND(D5="Air",G5&gt;5),"Delayed","Sheduled")</f>
        <v>Sheduled</v>
      </c>
      <c r="O5" s="43" t="s">
        <v>150</v>
      </c>
      <c r="P5" s="43"/>
      <c r="Q5" s="43"/>
      <c r="R5" s="43"/>
      <c r="S5" s="43"/>
      <c r="T5" s="43"/>
      <c r="U5" s="43"/>
      <c r="V5" s="43"/>
      <c r="W5" s="43"/>
      <c r="X5" s="43"/>
    </row>
    <row r="6" spans="1:24" ht="28.8">
      <c r="A6" s="28" t="s">
        <v>13</v>
      </c>
      <c r="B6" s="28" t="s">
        <v>135</v>
      </c>
      <c r="C6" s="28" t="s">
        <v>70</v>
      </c>
      <c r="D6" s="28" t="s">
        <v>71</v>
      </c>
      <c r="E6" s="28" t="s">
        <v>136</v>
      </c>
      <c r="F6" s="28">
        <v>12000</v>
      </c>
      <c r="G6" s="28">
        <v>7</v>
      </c>
      <c r="H6" s="28" t="s">
        <v>137</v>
      </c>
      <c r="I6" s="28" t="s">
        <v>131</v>
      </c>
      <c r="J6" s="28" t="s">
        <v>73</v>
      </c>
      <c r="K6" s="28">
        <v>28</v>
      </c>
      <c r="L6" s="14" t="str">
        <f t="shared" si="0"/>
        <v>Ok</v>
      </c>
      <c r="M6" s="14" t="str">
        <f t="shared" si="1"/>
        <v>Sheduled</v>
      </c>
    </row>
    <row r="7" spans="1:24">
      <c r="A7" s="28" t="s">
        <v>17</v>
      </c>
      <c r="B7" s="28" t="s">
        <v>138</v>
      </c>
      <c r="C7" s="28" t="s">
        <v>64</v>
      </c>
      <c r="D7" s="28" t="s">
        <v>65</v>
      </c>
      <c r="E7" s="28" t="s">
        <v>130</v>
      </c>
      <c r="F7" s="28">
        <v>16000</v>
      </c>
      <c r="G7" s="28">
        <v>5</v>
      </c>
      <c r="H7" s="28" t="s">
        <v>66</v>
      </c>
      <c r="I7" s="28" t="s">
        <v>139</v>
      </c>
      <c r="J7" s="28" t="s">
        <v>67</v>
      </c>
      <c r="K7" s="28">
        <v>62</v>
      </c>
      <c r="L7" s="14" t="str">
        <f t="shared" si="0"/>
        <v>Ok</v>
      </c>
      <c r="M7" s="14" t="str">
        <f t="shared" si="1"/>
        <v>Sheduled</v>
      </c>
    </row>
    <row r="8" spans="1:24">
      <c r="A8" s="28" t="s">
        <v>20</v>
      </c>
      <c r="B8" s="28" t="s">
        <v>129</v>
      </c>
      <c r="C8" s="28" t="s">
        <v>69</v>
      </c>
      <c r="D8" s="28" t="s">
        <v>65</v>
      </c>
      <c r="E8" s="28" t="s">
        <v>140</v>
      </c>
      <c r="F8" s="28">
        <v>10500</v>
      </c>
      <c r="G8" s="28">
        <v>3</v>
      </c>
      <c r="H8" s="28" t="s">
        <v>72</v>
      </c>
      <c r="I8" s="28" t="s">
        <v>131</v>
      </c>
      <c r="J8" s="28" t="s">
        <v>73</v>
      </c>
      <c r="K8" s="28">
        <v>33</v>
      </c>
      <c r="L8" s="14" t="str">
        <f t="shared" si="0"/>
        <v>Follow Up</v>
      </c>
      <c r="M8" s="14" t="str">
        <f t="shared" si="1"/>
        <v>Sheduled</v>
      </c>
    </row>
    <row r="9" spans="1:24" ht="28.8">
      <c r="A9" s="28" t="s">
        <v>24</v>
      </c>
      <c r="B9" s="28" t="s">
        <v>135</v>
      </c>
      <c r="C9" s="28" t="s">
        <v>141</v>
      </c>
      <c r="D9" s="28" t="s">
        <v>79</v>
      </c>
      <c r="E9" s="28" t="s">
        <v>133</v>
      </c>
      <c r="F9" s="28">
        <v>18500</v>
      </c>
      <c r="G9" s="28">
        <v>6</v>
      </c>
      <c r="H9" s="28" t="s">
        <v>66</v>
      </c>
      <c r="I9" s="28" t="s">
        <v>134</v>
      </c>
      <c r="J9" s="28" t="s">
        <v>67</v>
      </c>
      <c r="K9" s="28">
        <v>55</v>
      </c>
      <c r="L9" s="14" t="str">
        <f t="shared" si="0"/>
        <v>Ok</v>
      </c>
      <c r="M9" s="14" t="str">
        <f t="shared" si="1"/>
        <v>Delayed</v>
      </c>
    </row>
    <row r="10" spans="1:24">
      <c r="A10" s="28" t="s">
        <v>27</v>
      </c>
      <c r="B10" s="28" t="s">
        <v>132</v>
      </c>
      <c r="C10" s="28" t="s">
        <v>76</v>
      </c>
      <c r="D10" s="28" t="s">
        <v>71</v>
      </c>
      <c r="E10" s="28" t="s">
        <v>130</v>
      </c>
      <c r="F10" s="28">
        <v>8000</v>
      </c>
      <c r="G10" s="28">
        <v>4</v>
      </c>
      <c r="H10" s="28" t="s">
        <v>81</v>
      </c>
      <c r="I10" s="28" t="s">
        <v>139</v>
      </c>
      <c r="J10" s="28" t="s">
        <v>73</v>
      </c>
      <c r="K10" s="28">
        <v>72</v>
      </c>
      <c r="L10" s="14" t="str">
        <f t="shared" si="0"/>
        <v>Ok</v>
      </c>
      <c r="M10" s="14" t="str">
        <f t="shared" si="1"/>
        <v>Sheduled</v>
      </c>
    </row>
    <row r="11" spans="1:24" ht="28.8">
      <c r="A11" s="28" t="s">
        <v>31</v>
      </c>
      <c r="B11" s="28" t="s">
        <v>138</v>
      </c>
      <c r="C11" s="28" t="s">
        <v>142</v>
      </c>
      <c r="D11" s="28" t="s">
        <v>65</v>
      </c>
      <c r="E11" s="28" t="s">
        <v>136</v>
      </c>
      <c r="F11" s="28">
        <v>8800</v>
      </c>
      <c r="G11" s="28">
        <v>5</v>
      </c>
      <c r="H11" s="28" t="s">
        <v>66</v>
      </c>
      <c r="I11" s="28" t="s">
        <v>131</v>
      </c>
      <c r="J11" s="28" t="s">
        <v>73</v>
      </c>
      <c r="K11" s="28">
        <v>47</v>
      </c>
      <c r="L11" s="14" t="str">
        <f t="shared" si="0"/>
        <v>Ok</v>
      </c>
      <c r="M11" s="14" t="str">
        <f t="shared" si="1"/>
        <v>Sheduled</v>
      </c>
    </row>
    <row r="12" spans="1:24" ht="28.8">
      <c r="A12" s="28" t="s">
        <v>34</v>
      </c>
      <c r="B12" s="28" t="s">
        <v>129</v>
      </c>
      <c r="C12" s="28" t="s">
        <v>143</v>
      </c>
      <c r="D12" s="28" t="s">
        <v>79</v>
      </c>
      <c r="E12" s="28" t="s">
        <v>133</v>
      </c>
      <c r="F12" s="28">
        <v>15000</v>
      </c>
      <c r="G12" s="28">
        <v>5</v>
      </c>
      <c r="H12" s="28" t="s">
        <v>72</v>
      </c>
      <c r="I12" s="28" t="s">
        <v>134</v>
      </c>
      <c r="J12" s="28" t="s">
        <v>67</v>
      </c>
      <c r="K12" s="28">
        <v>38</v>
      </c>
      <c r="L12" s="14" t="str">
        <f t="shared" si="0"/>
        <v>Follow Up</v>
      </c>
      <c r="M12" s="14" t="str">
        <f t="shared" si="1"/>
        <v>Sheduled</v>
      </c>
    </row>
    <row r="13" spans="1:24">
      <c r="A13" s="28" t="s">
        <v>35</v>
      </c>
      <c r="B13" s="28" t="s">
        <v>135</v>
      </c>
      <c r="C13" s="28" t="s">
        <v>144</v>
      </c>
      <c r="D13" s="28" t="s">
        <v>65</v>
      </c>
      <c r="E13" s="28" t="s">
        <v>140</v>
      </c>
      <c r="F13" s="28">
        <v>11000</v>
      </c>
      <c r="G13" s="28">
        <v>6</v>
      </c>
      <c r="H13" s="28" t="s">
        <v>137</v>
      </c>
      <c r="I13" s="28" t="s">
        <v>139</v>
      </c>
      <c r="J13" s="28" t="s">
        <v>67</v>
      </c>
      <c r="K13" s="28">
        <v>65</v>
      </c>
      <c r="L13" s="14" t="str">
        <f t="shared" si="0"/>
        <v>Ok</v>
      </c>
      <c r="M13" s="14" t="str">
        <f t="shared" si="1"/>
        <v>Sheduled</v>
      </c>
    </row>
    <row r="14" spans="1:24">
      <c r="A14" s="28" t="s">
        <v>37</v>
      </c>
      <c r="B14" s="28" t="s">
        <v>129</v>
      </c>
      <c r="C14" s="28" t="s">
        <v>69</v>
      </c>
      <c r="D14" s="28" t="s">
        <v>71</v>
      </c>
      <c r="E14" s="28" t="s">
        <v>130</v>
      </c>
      <c r="F14" s="28">
        <v>9800</v>
      </c>
      <c r="G14" s="28">
        <v>4</v>
      </c>
      <c r="H14" s="28" t="s">
        <v>81</v>
      </c>
      <c r="I14" s="28" t="s">
        <v>131</v>
      </c>
      <c r="J14" s="28" t="s">
        <v>73</v>
      </c>
      <c r="K14" s="28">
        <v>44</v>
      </c>
      <c r="L14" s="14" t="str">
        <f t="shared" si="0"/>
        <v>Ok</v>
      </c>
      <c r="M14" s="14" t="str">
        <f t="shared" si="1"/>
        <v>Sheduled</v>
      </c>
    </row>
    <row r="15" spans="1:24" ht="28.8">
      <c r="A15" s="28" t="s">
        <v>38</v>
      </c>
      <c r="B15" s="28" t="s">
        <v>132</v>
      </c>
      <c r="C15" s="28" t="s">
        <v>78</v>
      </c>
      <c r="D15" s="28" t="s">
        <v>65</v>
      </c>
      <c r="E15" s="28" t="s">
        <v>133</v>
      </c>
      <c r="F15" s="28">
        <v>12500</v>
      </c>
      <c r="G15" s="28">
        <v>3</v>
      </c>
      <c r="H15" s="28" t="s">
        <v>66</v>
      </c>
      <c r="I15" s="28" t="s">
        <v>131</v>
      </c>
      <c r="J15" s="28" t="s">
        <v>67</v>
      </c>
      <c r="K15" s="28">
        <v>41</v>
      </c>
      <c r="L15" s="14" t="str">
        <f t="shared" si="0"/>
        <v>Ok</v>
      </c>
      <c r="M15" s="14" t="str">
        <f t="shared" si="1"/>
        <v>Sheduled</v>
      </c>
    </row>
    <row r="16" spans="1:24">
      <c r="A16" s="28" t="s">
        <v>39</v>
      </c>
      <c r="B16" s="28" t="s">
        <v>138</v>
      </c>
      <c r="C16" s="28" t="s">
        <v>145</v>
      </c>
      <c r="D16" s="28" t="s">
        <v>79</v>
      </c>
      <c r="E16" s="28" t="s">
        <v>140</v>
      </c>
      <c r="F16" s="28">
        <v>15500</v>
      </c>
      <c r="G16" s="28">
        <v>7</v>
      </c>
      <c r="H16" s="28" t="s">
        <v>72</v>
      </c>
      <c r="I16" s="28" t="s">
        <v>134</v>
      </c>
      <c r="J16" s="28" t="s">
        <v>67</v>
      </c>
      <c r="K16" s="28">
        <v>48</v>
      </c>
      <c r="L16" s="14" t="str">
        <f t="shared" si="0"/>
        <v>Ok</v>
      </c>
      <c r="M16" s="14" t="str">
        <f t="shared" si="1"/>
        <v>Delayed</v>
      </c>
    </row>
    <row r="17" spans="1:13" ht="28.8">
      <c r="A17" s="28" t="s">
        <v>40</v>
      </c>
      <c r="B17" s="28" t="s">
        <v>135</v>
      </c>
      <c r="C17" s="28" t="s">
        <v>146</v>
      </c>
      <c r="D17" s="28" t="s">
        <v>71</v>
      </c>
      <c r="E17" s="28" t="s">
        <v>136</v>
      </c>
      <c r="F17" s="28">
        <v>8900</v>
      </c>
      <c r="G17" s="28">
        <v>5</v>
      </c>
      <c r="H17" s="28" t="s">
        <v>66</v>
      </c>
      <c r="I17" s="28" t="s">
        <v>139</v>
      </c>
      <c r="J17" s="28" t="s">
        <v>73</v>
      </c>
      <c r="K17" s="28">
        <v>58</v>
      </c>
      <c r="L17" s="14" t="str">
        <f t="shared" si="0"/>
        <v>Ok</v>
      </c>
      <c r="M17" s="14" t="str">
        <f t="shared" si="1"/>
        <v>Sheduled</v>
      </c>
    </row>
    <row r="18" spans="1:13" ht="28.8">
      <c r="A18" s="28" t="s">
        <v>41</v>
      </c>
      <c r="B18" s="28" t="s">
        <v>129</v>
      </c>
      <c r="C18" s="28" t="s">
        <v>147</v>
      </c>
      <c r="D18" s="28" t="s">
        <v>65</v>
      </c>
      <c r="E18" s="28" t="s">
        <v>130</v>
      </c>
      <c r="F18" s="28">
        <v>14200</v>
      </c>
      <c r="G18" s="28">
        <v>6</v>
      </c>
      <c r="H18" s="28" t="s">
        <v>66</v>
      </c>
      <c r="I18" s="28" t="s">
        <v>131</v>
      </c>
      <c r="J18" s="28" t="s">
        <v>73</v>
      </c>
      <c r="K18" s="28">
        <v>50</v>
      </c>
      <c r="L18" s="14" t="str">
        <f t="shared" si="0"/>
        <v>Ok</v>
      </c>
      <c r="M18" s="14" t="str">
        <f t="shared" si="1"/>
        <v>Sheduled</v>
      </c>
    </row>
  </sheetData>
  <mergeCells count="2">
    <mergeCell ref="O4:W4"/>
    <mergeCell ref="O5:X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7140-01B7-4142-8A87-B97E2785C846}">
  <dimension ref="B3:V31"/>
  <sheetViews>
    <sheetView topLeftCell="A8" zoomScale="79" workbookViewId="0">
      <selection activeCell="X19" sqref="X19"/>
    </sheetView>
  </sheetViews>
  <sheetFormatPr defaultRowHeight="14.4"/>
  <sheetData>
    <row r="3" spans="2:17" ht="28.8">
      <c r="B3" s="16" t="s">
        <v>54</v>
      </c>
      <c r="C3" s="16" t="s">
        <v>125</v>
      </c>
      <c r="D3" s="16" t="s">
        <v>56</v>
      </c>
      <c r="E3" s="16" t="s">
        <v>57</v>
      </c>
      <c r="F3" s="16" t="s">
        <v>126</v>
      </c>
      <c r="G3" s="16" t="s">
        <v>58</v>
      </c>
      <c r="H3" s="16" t="s">
        <v>59</v>
      </c>
      <c r="I3" s="16" t="s">
        <v>60</v>
      </c>
      <c r="J3" s="16" t="s">
        <v>127</v>
      </c>
      <c r="K3" s="16" t="s">
        <v>61</v>
      </c>
      <c r="L3" s="16" t="s">
        <v>128</v>
      </c>
      <c r="Q3" s="18" t="s">
        <v>160</v>
      </c>
    </row>
    <row r="4" spans="2:17">
      <c r="B4" s="28" t="s">
        <v>8</v>
      </c>
      <c r="C4" s="28" t="s">
        <v>129</v>
      </c>
      <c r="D4" s="28" t="s">
        <v>69</v>
      </c>
      <c r="E4" s="28" t="s">
        <v>79</v>
      </c>
      <c r="F4" s="28" t="s">
        <v>130</v>
      </c>
      <c r="G4" s="28">
        <v>18000</v>
      </c>
      <c r="H4" s="28">
        <v>6</v>
      </c>
      <c r="I4" s="28" t="s">
        <v>72</v>
      </c>
      <c r="J4" s="28" t="s">
        <v>131</v>
      </c>
      <c r="K4" s="28" t="s">
        <v>67</v>
      </c>
      <c r="L4" s="28">
        <v>42</v>
      </c>
      <c r="N4">
        <v>1</v>
      </c>
      <c r="O4" t="str">
        <f>IF(AND(F4,G4&gt;15000),"HIGH PRIORITY","NORMAL")</f>
        <v>HIGH PRIORITY</v>
      </c>
      <c r="Q4" s="33" t="s">
        <v>152</v>
      </c>
    </row>
    <row r="5" spans="2:17" ht="28.8">
      <c r="B5" s="28" t="s">
        <v>11</v>
      </c>
      <c r="C5" s="28" t="s">
        <v>132</v>
      </c>
      <c r="D5" s="28" t="s">
        <v>75</v>
      </c>
      <c r="E5" s="28" t="s">
        <v>65</v>
      </c>
      <c r="F5" s="28" t="s">
        <v>133</v>
      </c>
      <c r="G5" s="28">
        <v>9500</v>
      </c>
      <c r="H5" s="28">
        <v>4</v>
      </c>
      <c r="I5" s="28" t="s">
        <v>66</v>
      </c>
      <c r="J5" s="28" t="s">
        <v>134</v>
      </c>
      <c r="K5" s="28" t="s">
        <v>73</v>
      </c>
      <c r="L5" s="28">
        <v>36</v>
      </c>
      <c r="O5" t="str">
        <f t="shared" ref="O5:O18" si="0">IF(AND(F5,G5&gt;15000),"HIGH PRIORITY","NORMAL")</f>
        <v>NORMAL</v>
      </c>
      <c r="Q5" s="9"/>
    </row>
    <row r="6" spans="2:17" ht="28.8">
      <c r="B6" s="28" t="s">
        <v>13</v>
      </c>
      <c r="C6" s="28" t="s">
        <v>135</v>
      </c>
      <c r="D6" s="28" t="s">
        <v>70</v>
      </c>
      <c r="E6" s="28" t="s">
        <v>71</v>
      </c>
      <c r="F6" s="28" t="s">
        <v>136</v>
      </c>
      <c r="G6" s="28">
        <v>12000</v>
      </c>
      <c r="H6" s="28">
        <v>7</v>
      </c>
      <c r="I6" s="28" t="s">
        <v>137</v>
      </c>
      <c r="J6" s="28" t="s">
        <v>131</v>
      </c>
      <c r="K6" s="28" t="s">
        <v>73</v>
      </c>
      <c r="L6" s="28">
        <v>28</v>
      </c>
      <c r="O6" t="str">
        <f t="shared" si="0"/>
        <v>NORMAL</v>
      </c>
      <c r="Q6" s="33" t="s">
        <v>153</v>
      </c>
    </row>
    <row r="7" spans="2:17">
      <c r="B7" s="28" t="s">
        <v>17</v>
      </c>
      <c r="C7" s="28" t="s">
        <v>138</v>
      </c>
      <c r="D7" s="28" t="s">
        <v>64</v>
      </c>
      <c r="E7" s="28" t="s">
        <v>65</v>
      </c>
      <c r="F7" s="28" t="s">
        <v>130</v>
      </c>
      <c r="G7" s="28">
        <v>16000</v>
      </c>
      <c r="H7" s="28">
        <v>5</v>
      </c>
      <c r="I7" s="28" t="s">
        <v>66</v>
      </c>
      <c r="J7" s="28" t="s">
        <v>139</v>
      </c>
      <c r="K7" s="28" t="s">
        <v>67</v>
      </c>
      <c r="L7" s="28">
        <v>62</v>
      </c>
      <c r="O7" t="str">
        <f t="shared" si="0"/>
        <v>HIGH PRIORITY</v>
      </c>
      <c r="Q7" s="9"/>
    </row>
    <row r="8" spans="2:17">
      <c r="B8" s="28" t="s">
        <v>20</v>
      </c>
      <c r="C8" s="28" t="s">
        <v>129</v>
      </c>
      <c r="D8" s="28" t="s">
        <v>69</v>
      </c>
      <c r="E8" s="28" t="s">
        <v>65</v>
      </c>
      <c r="F8" s="28" t="s">
        <v>140</v>
      </c>
      <c r="G8" s="28">
        <v>10500</v>
      </c>
      <c r="H8" s="28">
        <v>3</v>
      </c>
      <c r="I8" s="28" t="s">
        <v>72</v>
      </c>
      <c r="J8" s="28" t="s">
        <v>131</v>
      </c>
      <c r="K8" s="28" t="s">
        <v>73</v>
      </c>
      <c r="L8" s="28">
        <v>33</v>
      </c>
      <c r="O8" t="str">
        <f t="shared" si="0"/>
        <v>NORMAL</v>
      </c>
      <c r="Q8" s="33" t="s">
        <v>154</v>
      </c>
    </row>
    <row r="9" spans="2:17" ht="28.8">
      <c r="B9" s="28" t="s">
        <v>24</v>
      </c>
      <c r="C9" s="28" t="s">
        <v>135</v>
      </c>
      <c r="D9" s="28" t="s">
        <v>141</v>
      </c>
      <c r="E9" s="28" t="s">
        <v>79</v>
      </c>
      <c r="F9" s="28" t="s">
        <v>133</v>
      </c>
      <c r="G9" s="28">
        <v>18500</v>
      </c>
      <c r="H9" s="28">
        <v>6</v>
      </c>
      <c r="I9" s="28" t="s">
        <v>66</v>
      </c>
      <c r="J9" s="28" t="s">
        <v>134</v>
      </c>
      <c r="K9" s="28" t="s">
        <v>67</v>
      </c>
      <c r="L9" s="28">
        <v>55</v>
      </c>
      <c r="O9" t="str">
        <f t="shared" si="0"/>
        <v>HIGH PRIORITY</v>
      </c>
      <c r="Q9" s="9"/>
    </row>
    <row r="10" spans="2:17">
      <c r="B10" s="28" t="s">
        <v>27</v>
      </c>
      <c r="C10" s="28" t="s">
        <v>132</v>
      </c>
      <c r="D10" s="28" t="s">
        <v>76</v>
      </c>
      <c r="E10" s="28" t="s">
        <v>71</v>
      </c>
      <c r="F10" s="28" t="s">
        <v>130</v>
      </c>
      <c r="G10" s="28">
        <v>8000</v>
      </c>
      <c r="H10" s="28">
        <v>4</v>
      </c>
      <c r="I10" s="28" t="s">
        <v>81</v>
      </c>
      <c r="J10" s="28" t="s">
        <v>139</v>
      </c>
      <c r="K10" s="28" t="s">
        <v>73</v>
      </c>
      <c r="L10" s="28">
        <v>72</v>
      </c>
      <c r="O10" t="str">
        <f t="shared" si="0"/>
        <v>NORMAL</v>
      </c>
      <c r="Q10" s="33" t="s">
        <v>155</v>
      </c>
    </row>
    <row r="11" spans="2:17" ht="28.8">
      <c r="B11" s="28" t="s">
        <v>31</v>
      </c>
      <c r="C11" s="28" t="s">
        <v>138</v>
      </c>
      <c r="D11" s="28" t="s">
        <v>142</v>
      </c>
      <c r="E11" s="28" t="s">
        <v>65</v>
      </c>
      <c r="F11" s="28" t="s">
        <v>136</v>
      </c>
      <c r="G11" s="28">
        <v>8800</v>
      </c>
      <c r="H11" s="28">
        <v>5</v>
      </c>
      <c r="I11" s="28" t="s">
        <v>66</v>
      </c>
      <c r="J11" s="28" t="s">
        <v>131</v>
      </c>
      <c r="K11" s="28" t="s">
        <v>73</v>
      </c>
      <c r="L11" s="28">
        <v>47</v>
      </c>
      <c r="O11" t="str">
        <f t="shared" si="0"/>
        <v>NORMAL</v>
      </c>
      <c r="Q11" s="9"/>
    </row>
    <row r="12" spans="2:17" ht="28.8">
      <c r="B12" s="28" t="s">
        <v>34</v>
      </c>
      <c r="C12" s="28" t="s">
        <v>129</v>
      </c>
      <c r="D12" s="28" t="s">
        <v>143</v>
      </c>
      <c r="E12" s="28" t="s">
        <v>79</v>
      </c>
      <c r="F12" s="28" t="s">
        <v>133</v>
      </c>
      <c r="G12" s="28">
        <v>15000</v>
      </c>
      <c r="H12" s="28">
        <v>5</v>
      </c>
      <c r="I12" s="28" t="s">
        <v>72</v>
      </c>
      <c r="J12" s="28" t="s">
        <v>134</v>
      </c>
      <c r="K12" s="28" t="s">
        <v>67</v>
      </c>
      <c r="L12" s="28">
        <v>38</v>
      </c>
      <c r="O12" t="str">
        <f t="shared" si="0"/>
        <v>NORMAL</v>
      </c>
      <c r="Q12" s="33" t="s">
        <v>156</v>
      </c>
    </row>
    <row r="13" spans="2:17">
      <c r="B13" s="28" t="s">
        <v>35</v>
      </c>
      <c r="C13" s="28" t="s">
        <v>135</v>
      </c>
      <c r="D13" s="28" t="s">
        <v>144</v>
      </c>
      <c r="E13" s="28" t="s">
        <v>65</v>
      </c>
      <c r="F13" s="28" t="s">
        <v>140</v>
      </c>
      <c r="G13" s="28">
        <v>11000</v>
      </c>
      <c r="H13" s="28">
        <v>6</v>
      </c>
      <c r="I13" s="28" t="s">
        <v>137</v>
      </c>
      <c r="J13" s="28" t="s">
        <v>139</v>
      </c>
      <c r="K13" s="28" t="s">
        <v>67</v>
      </c>
      <c r="L13" s="28">
        <v>65</v>
      </c>
      <c r="O13" t="str">
        <f t="shared" si="0"/>
        <v>NORMAL</v>
      </c>
      <c r="Q13" s="9"/>
    </row>
    <row r="14" spans="2:17">
      <c r="B14" s="28" t="s">
        <v>37</v>
      </c>
      <c r="C14" s="28" t="s">
        <v>129</v>
      </c>
      <c r="D14" s="28" t="s">
        <v>69</v>
      </c>
      <c r="E14" s="28" t="s">
        <v>71</v>
      </c>
      <c r="F14" s="28" t="s">
        <v>130</v>
      </c>
      <c r="G14" s="28">
        <v>9800</v>
      </c>
      <c r="H14" s="28">
        <v>4</v>
      </c>
      <c r="I14" s="28" t="s">
        <v>81</v>
      </c>
      <c r="J14" s="28" t="s">
        <v>131</v>
      </c>
      <c r="K14" s="28" t="s">
        <v>73</v>
      </c>
      <c r="L14" s="28">
        <v>44</v>
      </c>
      <c r="O14" t="str">
        <f t="shared" si="0"/>
        <v>NORMAL</v>
      </c>
      <c r="Q14" s="33" t="s">
        <v>157</v>
      </c>
    </row>
    <row r="15" spans="2:17" ht="28.8">
      <c r="B15" s="28" t="s">
        <v>38</v>
      </c>
      <c r="C15" s="28" t="s">
        <v>132</v>
      </c>
      <c r="D15" s="28" t="s">
        <v>78</v>
      </c>
      <c r="E15" s="28" t="s">
        <v>65</v>
      </c>
      <c r="F15" s="28" t="s">
        <v>133</v>
      </c>
      <c r="G15" s="28">
        <v>12500</v>
      </c>
      <c r="H15" s="28">
        <v>3</v>
      </c>
      <c r="I15" s="28" t="s">
        <v>66</v>
      </c>
      <c r="J15" s="28" t="s">
        <v>131</v>
      </c>
      <c r="K15" s="28" t="s">
        <v>67</v>
      </c>
      <c r="L15" s="28">
        <v>41</v>
      </c>
      <c r="O15" t="str">
        <f t="shared" si="0"/>
        <v>NORMAL</v>
      </c>
      <c r="Q15" s="9"/>
    </row>
    <row r="16" spans="2:17">
      <c r="B16" s="28" t="s">
        <v>39</v>
      </c>
      <c r="C16" s="28" t="s">
        <v>138</v>
      </c>
      <c r="D16" s="28" t="s">
        <v>145</v>
      </c>
      <c r="E16" s="28" t="s">
        <v>79</v>
      </c>
      <c r="F16" s="28" t="s">
        <v>140</v>
      </c>
      <c r="G16" s="28">
        <v>15500</v>
      </c>
      <c r="H16" s="28">
        <v>7</v>
      </c>
      <c r="I16" s="28" t="s">
        <v>72</v>
      </c>
      <c r="J16" s="28" t="s">
        <v>134</v>
      </c>
      <c r="K16" s="28" t="s">
        <v>67</v>
      </c>
      <c r="L16" s="28">
        <v>48</v>
      </c>
      <c r="O16" t="str">
        <f t="shared" si="0"/>
        <v>HIGH PRIORITY</v>
      </c>
      <c r="Q16" s="33" t="s">
        <v>158</v>
      </c>
    </row>
    <row r="17" spans="2:22" ht="28.8">
      <c r="B17" s="28" t="s">
        <v>40</v>
      </c>
      <c r="C17" s="28" t="s">
        <v>135</v>
      </c>
      <c r="D17" s="28" t="s">
        <v>146</v>
      </c>
      <c r="E17" s="28" t="s">
        <v>71</v>
      </c>
      <c r="F17" s="28" t="s">
        <v>136</v>
      </c>
      <c r="G17" s="28">
        <v>8900</v>
      </c>
      <c r="H17" s="28">
        <v>5</v>
      </c>
      <c r="I17" s="28" t="s">
        <v>66</v>
      </c>
      <c r="J17" s="28" t="s">
        <v>139</v>
      </c>
      <c r="K17" s="28" t="s">
        <v>73</v>
      </c>
      <c r="L17" s="28">
        <v>58</v>
      </c>
      <c r="O17" t="str">
        <f t="shared" si="0"/>
        <v>NORMAL</v>
      </c>
      <c r="Q17" s="9"/>
    </row>
    <row r="18" spans="2:22" ht="28.8">
      <c r="B18" s="28" t="s">
        <v>41</v>
      </c>
      <c r="C18" s="28" t="s">
        <v>129</v>
      </c>
      <c r="D18" s="28" t="s">
        <v>147</v>
      </c>
      <c r="E18" s="28" t="s">
        <v>65</v>
      </c>
      <c r="F18" s="28" t="s">
        <v>130</v>
      </c>
      <c r="G18" s="28">
        <v>14200</v>
      </c>
      <c r="H18" s="28">
        <v>6</v>
      </c>
      <c r="I18" s="28" t="s">
        <v>66</v>
      </c>
      <c r="J18" s="28" t="s">
        <v>131</v>
      </c>
      <c r="K18" s="28" t="s">
        <v>73</v>
      </c>
      <c r="L18" s="28">
        <v>50</v>
      </c>
      <c r="O18" t="str">
        <f t="shared" si="0"/>
        <v>NORMAL</v>
      </c>
      <c r="Q18" s="33" t="s">
        <v>159</v>
      </c>
    </row>
    <row r="19" spans="2:22">
      <c r="N19">
        <v>2</v>
      </c>
      <c r="O19" t="str">
        <f t="shared" ref="O19:O29" si="1">IF(AND(J3="FRAGILE",I4&lt;&gt;"DELIVERD"),"SAFE","HANDLE WITH CARE")</f>
        <v>HANDLE WITH CARE</v>
      </c>
      <c r="R19">
        <v>3</v>
      </c>
      <c r="S19" t="str">
        <f>IF(AND(K4="YES",H4&gt;4),"ESCALATE","NO ACTION")</f>
        <v>ESCALATE</v>
      </c>
      <c r="U19">
        <v>4</v>
      </c>
      <c r="V19" t="str">
        <f>IF(AND(D4="DELHI",E6&lt;&gt;"Rail"),"ALTERNATE ROUTE","STANDERD")</f>
        <v>STANDERD</v>
      </c>
    </row>
    <row r="20" spans="2:22">
      <c r="O20" t="str">
        <f>IF(AND(J4="FRAGILE",I5&lt;&gt;"DELIVERD"),"SAFE","HANDLE WITH CARE")</f>
        <v>SAFE</v>
      </c>
      <c r="S20" t="str">
        <f t="shared" ref="S20:S29" si="2">IF(AND(K5="YES",H5&gt;4),"ESCALATE","NO ACTION")</f>
        <v>NO ACTION</v>
      </c>
      <c r="V20" t="str">
        <f t="shared" ref="V20:V31" si="3">IF(AND(D5="DELHI",E7&lt;&gt;"Rail"),"ALTERNATE ROUTE","STANDERD")</f>
        <v>STANDERD</v>
      </c>
    </row>
    <row r="21" spans="2:22">
      <c r="O21" t="str">
        <f t="shared" si="1"/>
        <v>HANDLE WITH CARE</v>
      </c>
      <c r="S21" t="str">
        <f t="shared" si="2"/>
        <v>NO ACTION</v>
      </c>
      <c r="V21" t="str">
        <f t="shared" si="3"/>
        <v>STANDERD</v>
      </c>
    </row>
    <row r="22" spans="2:22">
      <c r="O22" t="str">
        <f t="shared" si="1"/>
        <v>SAFE</v>
      </c>
      <c r="S22" t="str">
        <f t="shared" si="2"/>
        <v>ESCALATE</v>
      </c>
      <c r="V22" t="str">
        <f t="shared" si="3"/>
        <v>STANDERD</v>
      </c>
    </row>
    <row r="23" spans="2:22">
      <c r="O23" t="str">
        <f t="shared" si="1"/>
        <v>HANDLE WITH CARE</v>
      </c>
      <c r="S23" t="str">
        <f t="shared" si="2"/>
        <v>NO ACTION</v>
      </c>
      <c r="V23" t="str">
        <f t="shared" si="3"/>
        <v>STANDERD</v>
      </c>
    </row>
    <row r="24" spans="2:22">
      <c r="O24" t="str">
        <f t="shared" si="1"/>
        <v>SAFE</v>
      </c>
      <c r="S24" t="str">
        <f t="shared" si="2"/>
        <v>ESCALATE</v>
      </c>
      <c r="V24" t="str">
        <f t="shared" si="3"/>
        <v>STANDERD</v>
      </c>
    </row>
    <row r="25" spans="2:22">
      <c r="O25" t="str">
        <f t="shared" si="1"/>
        <v>HANDLE WITH CARE</v>
      </c>
      <c r="S25" t="str">
        <f t="shared" si="2"/>
        <v>NO ACTION</v>
      </c>
      <c r="V25" t="str">
        <f t="shared" si="3"/>
        <v>STANDERD</v>
      </c>
    </row>
    <row r="26" spans="2:22">
      <c r="O26" t="str">
        <f t="shared" si="1"/>
        <v>HANDLE WITH CARE</v>
      </c>
      <c r="S26" t="str">
        <f t="shared" si="2"/>
        <v>NO ACTION</v>
      </c>
      <c r="V26" t="str">
        <f t="shared" si="3"/>
        <v>STANDERD</v>
      </c>
    </row>
    <row r="27" spans="2:22">
      <c r="O27" t="str">
        <f t="shared" si="1"/>
        <v>SAFE</v>
      </c>
      <c r="S27" t="str">
        <f t="shared" si="2"/>
        <v>ESCALATE</v>
      </c>
      <c r="V27" t="str">
        <f t="shared" si="3"/>
        <v>STANDERD</v>
      </c>
    </row>
    <row r="28" spans="2:22">
      <c r="O28" t="str">
        <f t="shared" si="1"/>
        <v>HANDLE WITH CARE</v>
      </c>
      <c r="S28" t="str">
        <f t="shared" si="2"/>
        <v>ESCALATE</v>
      </c>
      <c r="V28" t="str">
        <f t="shared" si="3"/>
        <v>STANDERD</v>
      </c>
    </row>
    <row r="29" spans="2:22">
      <c r="O29" t="str">
        <f t="shared" si="1"/>
        <v>HANDLE WITH CARE</v>
      </c>
      <c r="S29" t="str">
        <f t="shared" si="2"/>
        <v>NO ACTION</v>
      </c>
      <c r="V29" t="str">
        <f t="shared" si="3"/>
        <v>ALTERNATE ROUTE</v>
      </c>
    </row>
    <row r="30" spans="2:22">
      <c r="V30" t="str">
        <f t="shared" si="3"/>
        <v>STANDERD</v>
      </c>
    </row>
    <row r="31" spans="2:22">
      <c r="V31" t="str">
        <f t="shared" si="3"/>
        <v>STANDERD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5D0A-936D-43CC-8FEE-885069A32393}">
  <dimension ref="A1"/>
  <sheetViews>
    <sheetView workbookViewId="0">
      <selection activeCell="C13" sqref="C13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659D-C76D-4D4D-9E34-CF334433F58F}">
  <dimension ref="B1:I14"/>
  <sheetViews>
    <sheetView topLeftCell="A2" workbookViewId="0">
      <selection activeCell="K15" sqref="K15"/>
    </sheetView>
  </sheetViews>
  <sheetFormatPr defaultRowHeight="14.4"/>
  <cols>
    <col min="2" max="6" width="13.33203125" customWidth="1"/>
  </cols>
  <sheetData>
    <row r="1" spans="2:9" ht="25.8">
      <c r="C1" s="21" t="s">
        <v>161</v>
      </c>
    </row>
    <row r="4" spans="2:9" ht="28.8">
      <c r="B4" s="16" t="s">
        <v>54</v>
      </c>
      <c r="C4" s="16" t="s">
        <v>125</v>
      </c>
      <c r="D4" s="16" t="s">
        <v>57</v>
      </c>
      <c r="E4" s="16" t="s">
        <v>126</v>
      </c>
      <c r="F4" s="16" t="s">
        <v>60</v>
      </c>
    </row>
    <row r="5" spans="2:9">
      <c r="B5" s="28" t="s">
        <v>162</v>
      </c>
      <c r="C5" s="28" t="s">
        <v>129</v>
      </c>
      <c r="D5" s="28" t="s">
        <v>79</v>
      </c>
      <c r="E5" s="28" t="s">
        <v>130</v>
      </c>
      <c r="F5" s="28" t="s">
        <v>66</v>
      </c>
      <c r="G5" t="str">
        <f>IF(OR(D5="Air",E5="ShipFast"),"High Priority","Standerd")</f>
        <v>High Priority</v>
      </c>
      <c r="I5" s="29" t="s">
        <v>172</v>
      </c>
    </row>
    <row r="6" spans="2:9">
      <c r="B6" s="28" t="s">
        <v>163</v>
      </c>
      <c r="C6" s="28" t="s">
        <v>132</v>
      </c>
      <c r="D6" s="28" t="s">
        <v>71</v>
      </c>
      <c r="E6" s="28" t="s">
        <v>133</v>
      </c>
      <c r="F6" s="28" t="s">
        <v>72</v>
      </c>
      <c r="G6" t="str">
        <f>IF(OR(D6="Air",E6="ShipFast"),"High Priority","Standerd")</f>
        <v>Standerd</v>
      </c>
    </row>
    <row r="7" spans="2:9">
      <c r="B7" s="28" t="s">
        <v>164</v>
      </c>
      <c r="C7" s="28" t="s">
        <v>135</v>
      </c>
      <c r="D7" s="28" t="s">
        <v>65</v>
      </c>
      <c r="E7" s="28" t="s">
        <v>140</v>
      </c>
      <c r="F7" s="28" t="s">
        <v>81</v>
      </c>
      <c r="G7" t="str">
        <f>IF(OR(D7="Air",E7="ShipFast"),"High Priority","Standerd")</f>
        <v>High Priority</v>
      </c>
    </row>
    <row r="8" spans="2:9">
      <c r="B8" s="28" t="s">
        <v>165</v>
      </c>
      <c r="C8" s="28" t="s">
        <v>138</v>
      </c>
      <c r="D8" s="28" t="s">
        <v>79</v>
      </c>
      <c r="E8" s="28" t="s">
        <v>130</v>
      </c>
      <c r="F8" s="28" t="s">
        <v>66</v>
      </c>
      <c r="G8" t="str">
        <f>IF(OR(D8="Air",E8="ShipFast"),"High Priority","Standerd")</f>
        <v>High Priority</v>
      </c>
    </row>
    <row r="9" spans="2:9">
      <c r="B9" s="28" t="s">
        <v>166</v>
      </c>
      <c r="C9" s="28" t="s">
        <v>129</v>
      </c>
      <c r="D9" s="28" t="s">
        <v>71</v>
      </c>
      <c r="E9" s="28" t="s">
        <v>136</v>
      </c>
      <c r="F9" s="28" t="s">
        <v>72</v>
      </c>
      <c r="G9" t="str">
        <f>IF(OR(D9="Air",E9="ShipFast"),"High Priority","Standerd")</f>
        <v>Standerd</v>
      </c>
    </row>
    <row r="10" spans="2:9">
      <c r="B10" s="28" t="s">
        <v>167</v>
      </c>
      <c r="C10" s="28" t="s">
        <v>132</v>
      </c>
      <c r="D10" s="28" t="s">
        <v>65</v>
      </c>
      <c r="E10" s="28" t="s">
        <v>130</v>
      </c>
      <c r="F10" s="28" t="s">
        <v>66</v>
      </c>
      <c r="G10" t="str">
        <f>IF(OR(D10="Air",E10="ShipFast"),"High Priority","Standerd")</f>
        <v>Standerd</v>
      </c>
    </row>
    <row r="11" spans="2:9">
      <c r="B11" s="28" t="s">
        <v>168</v>
      </c>
      <c r="C11" s="28" t="s">
        <v>135</v>
      </c>
      <c r="D11" s="28" t="s">
        <v>79</v>
      </c>
      <c r="E11" s="28" t="s">
        <v>140</v>
      </c>
      <c r="F11" s="28" t="s">
        <v>81</v>
      </c>
      <c r="G11" t="str">
        <f>IF(OR(D11="Air",E11="ShipFast"),"High Priority","Standerd")</f>
        <v>High Priority</v>
      </c>
    </row>
    <row r="12" spans="2:9">
      <c r="B12" s="28" t="s">
        <v>169</v>
      </c>
      <c r="C12" s="28" t="s">
        <v>138</v>
      </c>
      <c r="D12" s="28" t="s">
        <v>65</v>
      </c>
      <c r="E12" s="28" t="s">
        <v>133</v>
      </c>
      <c r="F12" s="28" t="s">
        <v>66</v>
      </c>
      <c r="G12" t="str">
        <f>IF(OR(D12="Air",E12="ShipFast"),"High Priority","Standerd")</f>
        <v>Standerd</v>
      </c>
    </row>
    <row r="13" spans="2:9">
      <c r="B13" s="28" t="s">
        <v>170</v>
      </c>
      <c r="C13" s="28" t="s">
        <v>129</v>
      </c>
      <c r="D13" s="28" t="s">
        <v>71</v>
      </c>
      <c r="E13" s="28" t="s">
        <v>133</v>
      </c>
      <c r="F13" s="28" t="s">
        <v>81</v>
      </c>
      <c r="G13" t="str">
        <f>IF(OR(D13="Air",E13="ShipFast"),"High Priority","Standerd")</f>
        <v>Standerd</v>
      </c>
    </row>
    <row r="14" spans="2:9">
      <c r="B14" s="28" t="s">
        <v>171</v>
      </c>
      <c r="C14" s="28" t="s">
        <v>132</v>
      </c>
      <c r="D14" s="28" t="s">
        <v>79</v>
      </c>
      <c r="E14" s="28" t="s">
        <v>140</v>
      </c>
      <c r="F14" s="28" t="s">
        <v>72</v>
      </c>
      <c r="G14" t="str">
        <f>IF(OR(D14="Air",E14="ShipFast"),"High Priority","Standerd")</f>
        <v>High Priority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B58E-61C1-4BF2-A475-CBAAE0E8E7F2}">
  <dimension ref="B1:I13"/>
  <sheetViews>
    <sheetView workbookViewId="0">
      <selection activeCell="J16" sqref="J16"/>
    </sheetView>
  </sheetViews>
  <sheetFormatPr defaultRowHeight="14.4"/>
  <cols>
    <col min="3" max="7" width="12.5546875" customWidth="1"/>
  </cols>
  <sheetData>
    <row r="1" spans="2:9" ht="21">
      <c r="C1" s="30" t="s">
        <v>173</v>
      </c>
    </row>
    <row r="3" spans="2:9" ht="28.8">
      <c r="B3" s="16" t="s">
        <v>54</v>
      </c>
      <c r="C3" s="16" t="s">
        <v>125</v>
      </c>
      <c r="D3" s="16" t="s">
        <v>57</v>
      </c>
      <c r="E3" s="16" t="s">
        <v>126</v>
      </c>
      <c r="F3" s="16" t="s">
        <v>60</v>
      </c>
    </row>
    <row r="4" spans="2:9">
      <c r="B4" s="28" t="s">
        <v>162</v>
      </c>
      <c r="C4" s="28" t="s">
        <v>129</v>
      </c>
      <c r="D4" s="28" t="s">
        <v>79</v>
      </c>
      <c r="E4" s="28" t="s">
        <v>130</v>
      </c>
      <c r="F4" s="28" t="s">
        <v>66</v>
      </c>
      <c r="G4" t="str">
        <f>IF(OR(C4="east",C4="west"),"check route","clear")</f>
        <v>clear</v>
      </c>
      <c r="H4" t="str">
        <f>IF(OR(F4="Pending",F4="cancelled"),"Not Complete","Complete")</f>
        <v>Complete</v>
      </c>
      <c r="I4" s="18" t="s">
        <v>174</v>
      </c>
    </row>
    <row r="5" spans="2:9">
      <c r="B5" s="28" t="s">
        <v>163</v>
      </c>
      <c r="C5" s="28" t="s">
        <v>132</v>
      </c>
      <c r="D5" s="28" t="s">
        <v>71</v>
      </c>
      <c r="E5" s="28" t="s">
        <v>133</v>
      </c>
      <c r="F5" s="28" t="s">
        <v>72</v>
      </c>
      <c r="G5" t="str">
        <f>IF(OR(C5="east",C5="west"),"check route","clear")</f>
        <v>clear</v>
      </c>
      <c r="H5" t="str">
        <f t="shared" ref="H5:H13" si="0">IF(OR(F5="Pending",F5="cancelled"),"Not Complete","Complete")</f>
        <v>Not Complete</v>
      </c>
    </row>
    <row r="6" spans="2:9">
      <c r="B6" s="28" t="s">
        <v>164</v>
      </c>
      <c r="C6" s="28" t="s">
        <v>135</v>
      </c>
      <c r="D6" s="28" t="s">
        <v>65</v>
      </c>
      <c r="E6" s="28" t="s">
        <v>140</v>
      </c>
      <c r="F6" s="28" t="s">
        <v>81</v>
      </c>
      <c r="G6" t="str">
        <f>IF(OR(C6="east",C6="west"),"check route","clear")</f>
        <v>check route</v>
      </c>
      <c r="H6" t="str">
        <f t="shared" si="0"/>
        <v>Not Complete</v>
      </c>
      <c r="I6" s="18" t="s">
        <v>175</v>
      </c>
    </row>
    <row r="7" spans="2:9">
      <c r="B7" s="28" t="s">
        <v>165</v>
      </c>
      <c r="C7" s="28" t="s">
        <v>138</v>
      </c>
      <c r="D7" s="28" t="s">
        <v>79</v>
      </c>
      <c r="E7" s="28" t="s">
        <v>130</v>
      </c>
      <c r="F7" s="28" t="s">
        <v>66</v>
      </c>
      <c r="G7" t="str">
        <f>IF(OR(C7="east",C7="west"),"check route","clear")</f>
        <v>check route</v>
      </c>
      <c r="H7" t="str">
        <f t="shared" si="0"/>
        <v>Complete</v>
      </c>
    </row>
    <row r="8" spans="2:9">
      <c r="B8" s="28" t="s">
        <v>166</v>
      </c>
      <c r="C8" s="28" t="s">
        <v>129</v>
      </c>
      <c r="D8" s="28" t="s">
        <v>71</v>
      </c>
      <c r="E8" s="28" t="s">
        <v>136</v>
      </c>
      <c r="F8" s="28" t="s">
        <v>72</v>
      </c>
      <c r="G8" t="str">
        <f>IF(OR(C8="east",C8="west"),"check route","clear")</f>
        <v>clear</v>
      </c>
      <c r="H8" t="str">
        <f t="shared" si="0"/>
        <v>Not Complete</v>
      </c>
    </row>
    <row r="9" spans="2:9">
      <c r="B9" s="28" t="s">
        <v>167</v>
      </c>
      <c r="C9" s="28" t="s">
        <v>132</v>
      </c>
      <c r="D9" s="28" t="s">
        <v>65</v>
      </c>
      <c r="E9" s="28" t="s">
        <v>130</v>
      </c>
      <c r="F9" s="28" t="s">
        <v>66</v>
      </c>
      <c r="G9" t="str">
        <f>IF(OR(C9="east",C9="west"),"check route","clear")</f>
        <v>clear</v>
      </c>
      <c r="H9" t="str">
        <f t="shared" si="0"/>
        <v>Complete</v>
      </c>
    </row>
    <row r="10" spans="2:9">
      <c r="B10" s="28" t="s">
        <v>168</v>
      </c>
      <c r="C10" s="28" t="s">
        <v>135</v>
      </c>
      <c r="D10" s="28" t="s">
        <v>79</v>
      </c>
      <c r="E10" s="28" t="s">
        <v>140</v>
      </c>
      <c r="F10" s="28" t="s">
        <v>81</v>
      </c>
      <c r="G10" t="str">
        <f>IF(OR(C10="east",C10="west"),"check route","clear")</f>
        <v>check route</v>
      </c>
      <c r="H10" t="str">
        <f t="shared" si="0"/>
        <v>Not Complete</v>
      </c>
    </row>
    <row r="11" spans="2:9">
      <c r="B11" s="28" t="s">
        <v>169</v>
      </c>
      <c r="C11" s="28" t="s">
        <v>138</v>
      </c>
      <c r="D11" s="28" t="s">
        <v>65</v>
      </c>
      <c r="E11" s="28" t="s">
        <v>133</v>
      </c>
      <c r="F11" s="28" t="s">
        <v>66</v>
      </c>
      <c r="G11" t="str">
        <f>IF(OR(C11="east",C11="west"),"check route","clear")</f>
        <v>check route</v>
      </c>
      <c r="H11" t="str">
        <f t="shared" si="0"/>
        <v>Complete</v>
      </c>
    </row>
    <row r="12" spans="2:9">
      <c r="B12" s="28" t="s">
        <v>170</v>
      </c>
      <c r="C12" s="28" t="s">
        <v>129</v>
      </c>
      <c r="D12" s="28" t="s">
        <v>71</v>
      </c>
      <c r="E12" s="28" t="s">
        <v>133</v>
      </c>
      <c r="F12" s="28" t="s">
        <v>81</v>
      </c>
      <c r="G12" t="str">
        <f>IF(OR(C12="east",C12="west"),"check route","clear")</f>
        <v>clear</v>
      </c>
      <c r="H12" t="str">
        <f t="shared" si="0"/>
        <v>Not Complete</v>
      </c>
    </row>
    <row r="13" spans="2:9">
      <c r="B13" s="28" t="s">
        <v>171</v>
      </c>
      <c r="C13" s="28" t="s">
        <v>132</v>
      </c>
      <c r="D13" s="28" t="s">
        <v>79</v>
      </c>
      <c r="E13" s="28" t="s">
        <v>140</v>
      </c>
      <c r="F13" s="28" t="s">
        <v>72</v>
      </c>
      <c r="G13" t="str">
        <f>IF(OR(C13="east",C13="west"),"check route","clear")</f>
        <v>clear</v>
      </c>
      <c r="H13" t="str">
        <f t="shared" si="0"/>
        <v>Not Complete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DD-FCBF-40B4-BFEF-DF697F97AEEB}">
  <dimension ref="B1:W29"/>
  <sheetViews>
    <sheetView topLeftCell="A4" workbookViewId="0">
      <selection activeCell="G25" sqref="G25"/>
    </sheetView>
  </sheetViews>
  <sheetFormatPr defaultRowHeight="14.4"/>
  <sheetData>
    <row r="1" spans="2:23" ht="21">
      <c r="C1" s="30" t="s">
        <v>173</v>
      </c>
    </row>
    <row r="3" spans="2:23" ht="28.8">
      <c r="B3" s="16" t="s">
        <v>54</v>
      </c>
      <c r="C3" s="16" t="s">
        <v>125</v>
      </c>
      <c r="D3" s="16" t="s">
        <v>57</v>
      </c>
      <c r="E3" s="16" t="s">
        <v>126</v>
      </c>
      <c r="F3" s="16" t="s">
        <v>60</v>
      </c>
      <c r="J3" s="33" t="s">
        <v>176</v>
      </c>
    </row>
    <row r="4" spans="2:23">
      <c r="B4" s="28" t="s">
        <v>162</v>
      </c>
      <c r="C4" s="28" t="s">
        <v>129</v>
      </c>
      <c r="D4" s="28" t="s">
        <v>79</v>
      </c>
      <c r="E4" s="28" t="s">
        <v>130</v>
      </c>
      <c r="F4" s="28" t="s">
        <v>66</v>
      </c>
      <c r="G4" t="str">
        <f>IF(OR(E4="prime supply",E4="quick mode"),"external Vendor","In house")</f>
        <v>In house</v>
      </c>
      <c r="I4" t="str">
        <f>IF(OR(D4="Air",F4="Cancelled"),"Needs Review","normal")</f>
        <v>Needs Review</v>
      </c>
      <c r="J4" s="9"/>
      <c r="U4" t="str">
        <f>IF(OR(C4="south",E4="ship fast"),"priority watch","stanerd")</f>
        <v>stanerd</v>
      </c>
      <c r="W4" t="str">
        <f>IF(OR(C4="north",D4="air"),"fast track","regular flow")</f>
        <v>fast track</v>
      </c>
    </row>
    <row r="5" spans="2:23" ht="28.8">
      <c r="B5" s="28" t="s">
        <v>163</v>
      </c>
      <c r="C5" s="28" t="s">
        <v>132</v>
      </c>
      <c r="D5" s="28" t="s">
        <v>71</v>
      </c>
      <c r="E5" s="28" t="s">
        <v>133</v>
      </c>
      <c r="F5" s="28" t="s">
        <v>72</v>
      </c>
      <c r="G5" t="str">
        <f t="shared" ref="G5:G13" si="0">IF(OR(E5="prime supply",E5="quick mode"),"external Vendor","In house")</f>
        <v>external Vendor</v>
      </c>
      <c r="I5" t="str">
        <f>IF(OR(D5="Air",F5="Cancelled"),"Needs Review","normal")</f>
        <v>normal</v>
      </c>
      <c r="J5" s="33" t="s">
        <v>177</v>
      </c>
      <c r="U5" t="str">
        <f t="shared" ref="U5:U13" si="1">IF(OR(C5="south",E5="ship fast"),"priority watch","stanerd")</f>
        <v>priority watch</v>
      </c>
      <c r="W5" t="str">
        <f t="shared" ref="W5:W13" si="2">IF(OR(C5="north",D5="air"),"fast track","regular flow")</f>
        <v>regular flow</v>
      </c>
    </row>
    <row r="6" spans="2:23">
      <c r="B6" s="28" t="s">
        <v>164</v>
      </c>
      <c r="C6" s="28" t="s">
        <v>135</v>
      </c>
      <c r="D6" s="28" t="s">
        <v>65</v>
      </c>
      <c r="E6" s="28" t="s">
        <v>140</v>
      </c>
      <c r="F6" s="28" t="s">
        <v>81</v>
      </c>
      <c r="G6" t="str">
        <f t="shared" si="0"/>
        <v>In house</v>
      </c>
      <c r="I6" t="str">
        <f t="shared" ref="I6:I13" si="3">IF(OR(D6="Air",F6="Cancelled"),"Needs Review","normal")</f>
        <v>Needs Review</v>
      </c>
      <c r="J6" s="9"/>
      <c r="U6" t="str">
        <f t="shared" si="1"/>
        <v>stanerd</v>
      </c>
      <c r="W6" t="str">
        <f t="shared" si="2"/>
        <v>regular flow</v>
      </c>
    </row>
    <row r="7" spans="2:23">
      <c r="B7" s="28" t="s">
        <v>165</v>
      </c>
      <c r="C7" s="28" t="s">
        <v>138</v>
      </c>
      <c r="D7" s="28" t="s">
        <v>79</v>
      </c>
      <c r="E7" s="28" t="s">
        <v>130</v>
      </c>
      <c r="F7" s="28" t="s">
        <v>66</v>
      </c>
      <c r="G7" t="str">
        <f t="shared" si="0"/>
        <v>In house</v>
      </c>
      <c r="I7" t="str">
        <f t="shared" si="3"/>
        <v>Needs Review</v>
      </c>
      <c r="J7" s="33" t="s">
        <v>178</v>
      </c>
      <c r="U7" t="str">
        <f t="shared" si="1"/>
        <v>stanerd</v>
      </c>
      <c r="W7" t="str">
        <f t="shared" si="2"/>
        <v>fast track</v>
      </c>
    </row>
    <row r="8" spans="2:23" ht="28.8">
      <c r="B8" s="28" t="s">
        <v>166</v>
      </c>
      <c r="C8" s="28" t="s">
        <v>129</v>
      </c>
      <c r="D8" s="28" t="s">
        <v>71</v>
      </c>
      <c r="E8" s="28" t="s">
        <v>136</v>
      </c>
      <c r="F8" s="28" t="s">
        <v>72</v>
      </c>
      <c r="G8" t="str">
        <f t="shared" si="0"/>
        <v>In house</v>
      </c>
      <c r="I8" t="str">
        <f t="shared" si="3"/>
        <v>normal</v>
      </c>
      <c r="J8" s="9"/>
      <c r="U8" t="str">
        <f t="shared" si="1"/>
        <v>stanerd</v>
      </c>
      <c r="W8" t="str">
        <f t="shared" si="2"/>
        <v>fast track</v>
      </c>
    </row>
    <row r="9" spans="2:23">
      <c r="B9" s="28" t="s">
        <v>167</v>
      </c>
      <c r="C9" s="28" t="s">
        <v>132</v>
      </c>
      <c r="D9" s="28" t="s">
        <v>65</v>
      </c>
      <c r="E9" s="28" t="s">
        <v>130</v>
      </c>
      <c r="F9" s="28" t="s">
        <v>66</v>
      </c>
      <c r="G9" t="str">
        <f t="shared" si="0"/>
        <v>In house</v>
      </c>
      <c r="I9" t="str">
        <f t="shared" si="3"/>
        <v>normal</v>
      </c>
      <c r="J9" s="33" t="s">
        <v>179</v>
      </c>
      <c r="U9" t="str">
        <f t="shared" si="1"/>
        <v>priority watch</v>
      </c>
      <c r="W9" t="str">
        <f t="shared" si="2"/>
        <v>regular flow</v>
      </c>
    </row>
    <row r="10" spans="2:23">
      <c r="B10" s="28" t="s">
        <v>168</v>
      </c>
      <c r="C10" s="28" t="s">
        <v>135</v>
      </c>
      <c r="D10" s="28" t="s">
        <v>79</v>
      </c>
      <c r="E10" s="28" t="s">
        <v>140</v>
      </c>
      <c r="F10" s="28" t="s">
        <v>81</v>
      </c>
      <c r="G10" t="str">
        <f t="shared" si="0"/>
        <v>In house</v>
      </c>
      <c r="I10" t="str">
        <f t="shared" si="3"/>
        <v>Needs Review</v>
      </c>
      <c r="J10" s="9"/>
      <c r="U10" t="str">
        <f t="shared" si="1"/>
        <v>stanerd</v>
      </c>
      <c r="W10" t="str">
        <f t="shared" si="2"/>
        <v>fast track</v>
      </c>
    </row>
    <row r="11" spans="2:23" ht="28.8">
      <c r="B11" s="28" t="s">
        <v>169</v>
      </c>
      <c r="C11" s="28" t="s">
        <v>138</v>
      </c>
      <c r="D11" s="28" t="s">
        <v>65</v>
      </c>
      <c r="E11" s="28" t="s">
        <v>133</v>
      </c>
      <c r="F11" s="28" t="s">
        <v>66</v>
      </c>
      <c r="G11" t="str">
        <f t="shared" si="0"/>
        <v>external Vendor</v>
      </c>
      <c r="I11" t="str">
        <f t="shared" si="3"/>
        <v>normal</v>
      </c>
      <c r="J11" s="33" t="s">
        <v>180</v>
      </c>
      <c r="U11" t="str">
        <f t="shared" si="1"/>
        <v>stanerd</v>
      </c>
      <c r="W11" t="str">
        <f t="shared" si="2"/>
        <v>regular flow</v>
      </c>
    </row>
    <row r="12" spans="2:23" ht="28.8">
      <c r="B12" s="28" t="s">
        <v>170</v>
      </c>
      <c r="C12" s="28" t="s">
        <v>129</v>
      </c>
      <c r="D12" s="28" t="s">
        <v>71</v>
      </c>
      <c r="E12" s="28" t="s">
        <v>133</v>
      </c>
      <c r="F12" s="28" t="s">
        <v>81</v>
      </c>
      <c r="G12" t="str">
        <f t="shared" si="0"/>
        <v>external Vendor</v>
      </c>
      <c r="I12" t="str">
        <f t="shared" si="3"/>
        <v>Needs Review</v>
      </c>
      <c r="J12" s="9"/>
      <c r="U12" t="str">
        <f t="shared" si="1"/>
        <v>stanerd</v>
      </c>
      <c r="W12" t="str">
        <f t="shared" si="2"/>
        <v>fast track</v>
      </c>
    </row>
    <row r="13" spans="2:23">
      <c r="B13" s="28" t="s">
        <v>171</v>
      </c>
      <c r="C13" s="28" t="s">
        <v>132</v>
      </c>
      <c r="D13" s="28" t="s">
        <v>79</v>
      </c>
      <c r="E13" s="28" t="s">
        <v>140</v>
      </c>
      <c r="F13" s="28" t="s">
        <v>72</v>
      </c>
      <c r="G13" t="str">
        <f t="shared" si="0"/>
        <v>In house</v>
      </c>
      <c r="I13" t="str">
        <f t="shared" si="3"/>
        <v>Needs Review</v>
      </c>
      <c r="J13" s="33" t="s">
        <v>181</v>
      </c>
      <c r="U13" t="str">
        <f t="shared" si="1"/>
        <v>priority watch</v>
      </c>
      <c r="W13" t="str">
        <f t="shared" si="2"/>
        <v>fast track</v>
      </c>
    </row>
    <row r="14" spans="2:23">
      <c r="J14" s="9"/>
    </row>
    <row r="15" spans="2:23">
      <c r="J15" s="33" t="s">
        <v>182</v>
      </c>
    </row>
    <row r="16" spans="2:23">
      <c r="J16" s="9"/>
    </row>
    <row r="17" spans="2:10">
      <c r="J17" s="33" t="s">
        <v>183</v>
      </c>
    </row>
    <row r="18" spans="2:10">
      <c r="B18" t="str">
        <f>IF(OR(F4&lt;&gt;"delivered",E4&lt;&gt;"speedlog"),"investicate","Cleared")</f>
        <v>Cleared</v>
      </c>
      <c r="D18" t="str">
        <f>IF(OR(D4="road",E4="prime supply"),"economy shipping","expess shipping")</f>
        <v>expess shipping</v>
      </c>
    </row>
    <row r="19" spans="2:10">
      <c r="B19" t="str">
        <f t="shared" ref="B19:B29" si="4">IF(OR(F5&lt;&gt;"delivered",E5&lt;&gt;"speedlog"),"investicate","Cleared")</f>
        <v>investicate</v>
      </c>
      <c r="D19" t="str">
        <f t="shared" ref="D19:D29" si="5">IF(OR(D5="road",E5="prime supply"),"economy shipping","expess shipping")</f>
        <v>economy shipping</v>
      </c>
    </row>
    <row r="20" spans="2:10">
      <c r="B20" t="str">
        <f t="shared" si="4"/>
        <v>investicate</v>
      </c>
      <c r="D20" t="str">
        <f t="shared" si="5"/>
        <v>economy shipping</v>
      </c>
    </row>
    <row r="21" spans="2:10">
      <c r="B21" t="str">
        <f t="shared" si="4"/>
        <v>Cleared</v>
      </c>
      <c r="D21" t="str">
        <f t="shared" si="5"/>
        <v>expess shipping</v>
      </c>
    </row>
    <row r="22" spans="2:10">
      <c r="B22" t="str">
        <f t="shared" si="4"/>
        <v>investicate</v>
      </c>
      <c r="D22" t="str">
        <f t="shared" si="5"/>
        <v>expess shipping</v>
      </c>
    </row>
    <row r="23" spans="2:10">
      <c r="B23" t="str">
        <f t="shared" si="4"/>
        <v>Cleared</v>
      </c>
      <c r="D23" t="str">
        <f t="shared" si="5"/>
        <v>economy shipping</v>
      </c>
    </row>
    <row r="24" spans="2:10">
      <c r="B24" t="str">
        <f t="shared" si="4"/>
        <v>investicate</v>
      </c>
      <c r="D24" t="str">
        <f t="shared" si="5"/>
        <v>expess shipping</v>
      </c>
    </row>
    <row r="25" spans="2:10">
      <c r="B25" t="str">
        <f t="shared" si="4"/>
        <v>investicate</v>
      </c>
      <c r="D25" t="str">
        <f t="shared" si="5"/>
        <v>economy shipping</v>
      </c>
    </row>
    <row r="26" spans="2:10">
      <c r="B26" t="str">
        <f t="shared" si="4"/>
        <v>investicate</v>
      </c>
      <c r="D26" t="str">
        <f t="shared" si="5"/>
        <v>economy shipping</v>
      </c>
    </row>
    <row r="27" spans="2:10">
      <c r="B27" t="str">
        <f t="shared" si="4"/>
        <v>investicate</v>
      </c>
      <c r="D27" t="str">
        <f t="shared" si="5"/>
        <v>expess shipping</v>
      </c>
    </row>
    <row r="28" spans="2:10">
      <c r="B28" t="str">
        <f t="shared" si="4"/>
        <v>investicate</v>
      </c>
      <c r="D28" t="str">
        <f t="shared" si="5"/>
        <v>expess shipping</v>
      </c>
    </row>
    <row r="29" spans="2:10">
      <c r="B29" t="str">
        <f t="shared" si="4"/>
        <v>investicate</v>
      </c>
      <c r="D29" t="str">
        <f t="shared" si="5"/>
        <v>expess shipping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66EE-A377-4560-989E-0A9C406FFE83}">
  <dimension ref="B1:L20"/>
  <sheetViews>
    <sheetView tabSelected="1" workbookViewId="0">
      <selection activeCell="P9" sqref="P9"/>
    </sheetView>
  </sheetViews>
  <sheetFormatPr defaultRowHeight="14.4"/>
  <sheetData>
    <row r="1" spans="2:12" ht="21">
      <c r="C1" s="30" t="s">
        <v>204</v>
      </c>
    </row>
    <row r="3" spans="2:12" ht="28.8">
      <c r="B3" s="16" t="s">
        <v>184</v>
      </c>
      <c r="C3" s="16" t="s">
        <v>126</v>
      </c>
      <c r="D3" s="16" t="s">
        <v>185</v>
      </c>
      <c r="E3" s="16" t="s">
        <v>186</v>
      </c>
      <c r="F3" s="16" t="s">
        <v>187</v>
      </c>
      <c r="G3" s="16" t="s">
        <v>59</v>
      </c>
      <c r="H3" s="16" t="s">
        <v>52</v>
      </c>
      <c r="I3" s="16" t="s">
        <v>61</v>
      </c>
    </row>
    <row r="4" spans="2:12" ht="28.8">
      <c r="B4" s="28" t="s">
        <v>188</v>
      </c>
      <c r="C4" s="28" t="s">
        <v>189</v>
      </c>
      <c r="D4" s="28" t="s">
        <v>190</v>
      </c>
      <c r="E4" s="28">
        <v>1500</v>
      </c>
      <c r="F4" s="28">
        <v>10</v>
      </c>
      <c r="G4" s="28">
        <v>3</v>
      </c>
      <c r="H4" s="28" t="s">
        <v>66</v>
      </c>
      <c r="I4" s="28" t="s">
        <v>73</v>
      </c>
      <c r="K4" s="36" t="s">
        <v>218</v>
      </c>
      <c r="L4" s="33" t="s">
        <v>205</v>
      </c>
    </row>
    <row r="5" spans="2:12" ht="28.8">
      <c r="B5" s="28" t="s">
        <v>191</v>
      </c>
      <c r="C5" s="28" t="s">
        <v>192</v>
      </c>
      <c r="D5" s="28" t="s">
        <v>193</v>
      </c>
      <c r="E5" s="28">
        <v>2500</v>
      </c>
      <c r="F5" s="28">
        <v>5</v>
      </c>
      <c r="G5" s="28">
        <v>7</v>
      </c>
      <c r="H5" s="28" t="s">
        <v>72</v>
      </c>
      <c r="I5" s="28" t="s">
        <v>67</v>
      </c>
      <c r="L5" s="33" t="s">
        <v>206</v>
      </c>
    </row>
    <row r="6" spans="2:12" ht="28.8">
      <c r="B6" s="28" t="s">
        <v>194</v>
      </c>
      <c r="C6" s="28" t="s">
        <v>195</v>
      </c>
      <c r="D6" s="28" t="s">
        <v>196</v>
      </c>
      <c r="E6" s="28">
        <v>100</v>
      </c>
      <c r="F6" s="28">
        <v>50</v>
      </c>
      <c r="G6" s="28">
        <v>5</v>
      </c>
      <c r="H6" s="28" t="s">
        <v>81</v>
      </c>
      <c r="I6" s="28" t="s">
        <v>73</v>
      </c>
      <c r="K6" s="36" t="s">
        <v>218</v>
      </c>
      <c r="L6" s="33" t="s">
        <v>207</v>
      </c>
    </row>
    <row r="7" spans="2:12" ht="28.8">
      <c r="B7" s="28" t="s">
        <v>197</v>
      </c>
      <c r="C7" s="28" t="s">
        <v>133</v>
      </c>
      <c r="D7" s="28" t="s">
        <v>190</v>
      </c>
      <c r="E7" s="28">
        <v>1800</v>
      </c>
      <c r="F7" s="28">
        <v>8</v>
      </c>
      <c r="G7" s="28">
        <v>4</v>
      </c>
      <c r="H7" s="28" t="s">
        <v>66</v>
      </c>
      <c r="I7" s="28" t="s">
        <v>67</v>
      </c>
      <c r="L7" s="33" t="s">
        <v>208</v>
      </c>
    </row>
    <row r="8" spans="2:12" ht="28.8">
      <c r="B8" s="28" t="s">
        <v>198</v>
      </c>
      <c r="C8" s="28" t="s">
        <v>136</v>
      </c>
      <c r="D8" s="28" t="s">
        <v>193</v>
      </c>
      <c r="E8" s="28">
        <v>2300</v>
      </c>
      <c r="F8" s="28">
        <v>6</v>
      </c>
      <c r="G8" s="28">
        <v>6</v>
      </c>
      <c r="H8" s="28" t="s">
        <v>72</v>
      </c>
      <c r="I8" s="28" t="s">
        <v>73</v>
      </c>
      <c r="K8" s="36" t="s">
        <v>218</v>
      </c>
      <c r="L8" s="33" t="s">
        <v>209</v>
      </c>
    </row>
    <row r="9" spans="2:12" ht="28.8">
      <c r="B9" s="28" t="s">
        <v>199</v>
      </c>
      <c r="C9" s="28" t="s">
        <v>140</v>
      </c>
      <c r="D9" s="28" t="s">
        <v>190</v>
      </c>
      <c r="E9" s="28">
        <v>1600</v>
      </c>
      <c r="F9" s="28">
        <v>9</v>
      </c>
      <c r="G9" s="28">
        <v>2</v>
      </c>
      <c r="H9" s="28" t="s">
        <v>66</v>
      </c>
      <c r="I9" s="28" t="s">
        <v>67</v>
      </c>
      <c r="L9" s="33" t="s">
        <v>210</v>
      </c>
    </row>
    <row r="10" spans="2:12" ht="28.8">
      <c r="B10" s="28" t="s">
        <v>200</v>
      </c>
      <c r="C10" s="28" t="s">
        <v>192</v>
      </c>
      <c r="D10" s="28" t="s">
        <v>196</v>
      </c>
      <c r="E10" s="28">
        <v>120</v>
      </c>
      <c r="F10" s="28">
        <v>60</v>
      </c>
      <c r="G10" s="28">
        <v>7</v>
      </c>
      <c r="H10" s="28" t="s">
        <v>81</v>
      </c>
      <c r="I10" s="28" t="s">
        <v>73</v>
      </c>
      <c r="K10" s="36" t="s">
        <v>218</v>
      </c>
      <c r="L10" s="33" t="s">
        <v>219</v>
      </c>
    </row>
    <row r="11" spans="2:12" ht="28.8">
      <c r="B11" s="28" t="s">
        <v>201</v>
      </c>
      <c r="C11" s="28" t="s">
        <v>189</v>
      </c>
      <c r="D11" s="28" t="s">
        <v>193</v>
      </c>
      <c r="E11" s="28">
        <v>2400</v>
      </c>
      <c r="F11" s="28">
        <v>4</v>
      </c>
      <c r="G11" s="28">
        <v>3</v>
      </c>
      <c r="H11" s="28" t="s">
        <v>66</v>
      </c>
      <c r="I11" s="28" t="s">
        <v>67</v>
      </c>
      <c r="L11" s="35" t="s">
        <v>211</v>
      </c>
    </row>
    <row r="12" spans="2:12" ht="28.8">
      <c r="B12" s="28" t="s">
        <v>202</v>
      </c>
      <c r="C12" s="28" t="s">
        <v>133</v>
      </c>
      <c r="D12" s="28" t="s">
        <v>196</v>
      </c>
      <c r="E12" s="28">
        <v>110</v>
      </c>
      <c r="F12" s="28">
        <v>70</v>
      </c>
      <c r="G12" s="28">
        <v>5</v>
      </c>
      <c r="H12" s="28" t="s">
        <v>72</v>
      </c>
      <c r="I12" s="28" t="s">
        <v>73</v>
      </c>
      <c r="L12" s="35" t="s">
        <v>212</v>
      </c>
    </row>
    <row r="13" spans="2:12" ht="28.8">
      <c r="B13" s="28" t="s">
        <v>203</v>
      </c>
      <c r="C13" s="28" t="s">
        <v>195</v>
      </c>
      <c r="D13" s="28" t="s">
        <v>190</v>
      </c>
      <c r="E13" s="28">
        <v>1700</v>
      </c>
      <c r="F13" s="28">
        <v>7</v>
      </c>
      <c r="G13" s="28">
        <v>6</v>
      </c>
      <c r="H13" s="28" t="s">
        <v>66</v>
      </c>
      <c r="I13" s="28" t="s">
        <v>67</v>
      </c>
      <c r="L13" s="35" t="s">
        <v>213</v>
      </c>
    </row>
    <row r="14" spans="2:12">
      <c r="L14" s="33" t="s">
        <v>214</v>
      </c>
    </row>
    <row r="15" spans="2:12">
      <c r="L15" s="35" t="s">
        <v>215</v>
      </c>
    </row>
    <row r="16" spans="2:12">
      <c r="L16" s="34"/>
    </row>
    <row r="17" spans="12:12">
      <c r="L17" s="35" t="s">
        <v>216</v>
      </c>
    </row>
    <row r="18" spans="12:12">
      <c r="L18" s="34"/>
    </row>
    <row r="19" spans="12:12">
      <c r="L19" s="35" t="s">
        <v>217</v>
      </c>
    </row>
    <row r="20" spans="12:12">
      <c r="L20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8B28-24A2-4E2F-A812-70169C9A1E8E}">
  <dimension ref="B1:N26"/>
  <sheetViews>
    <sheetView workbookViewId="0">
      <selection activeCell="K9" sqref="K9"/>
    </sheetView>
  </sheetViews>
  <sheetFormatPr defaultRowHeight="14.4"/>
  <sheetData>
    <row r="1" spans="2:14" ht="23.4">
      <c r="D1" s="31" t="s">
        <v>248</v>
      </c>
    </row>
    <row r="3" spans="2:14" ht="57.6">
      <c r="B3" s="11" t="s">
        <v>220</v>
      </c>
      <c r="C3" s="11" t="s">
        <v>221</v>
      </c>
      <c r="D3" s="11" t="s">
        <v>125</v>
      </c>
      <c r="E3" s="11" t="s">
        <v>222</v>
      </c>
      <c r="F3" s="11" t="s">
        <v>223</v>
      </c>
      <c r="G3" s="11" t="s">
        <v>224</v>
      </c>
      <c r="H3" s="11" t="s">
        <v>225</v>
      </c>
      <c r="I3" s="11" t="s">
        <v>226</v>
      </c>
    </row>
    <row r="4" spans="2:14">
      <c r="B4" s="5" t="s">
        <v>227</v>
      </c>
      <c r="C4" s="5" t="s">
        <v>228</v>
      </c>
      <c r="D4" s="5" t="s">
        <v>129</v>
      </c>
      <c r="E4" s="5">
        <v>180000</v>
      </c>
      <c r="F4" s="5">
        <v>200</v>
      </c>
      <c r="G4" s="5" t="s">
        <v>229</v>
      </c>
      <c r="H4" s="5" t="s">
        <v>230</v>
      </c>
      <c r="I4" s="5" t="s">
        <v>36</v>
      </c>
      <c r="L4">
        <v>1</v>
      </c>
      <c r="M4" s="29" t="s">
        <v>250</v>
      </c>
    </row>
    <row r="5" spans="2:14">
      <c r="B5" s="5" t="s">
        <v>231</v>
      </c>
      <c r="C5" s="5" t="s">
        <v>232</v>
      </c>
      <c r="D5" s="5" t="s">
        <v>132</v>
      </c>
      <c r="E5" s="5">
        <v>75000</v>
      </c>
      <c r="F5" s="5">
        <v>80</v>
      </c>
      <c r="G5" s="5" t="s">
        <v>233</v>
      </c>
      <c r="H5" s="5" t="s">
        <v>234</v>
      </c>
      <c r="I5" s="5" t="s">
        <v>53</v>
      </c>
      <c r="N5" s="37" t="s">
        <v>251</v>
      </c>
    </row>
    <row r="6" spans="2:14">
      <c r="B6" s="5" t="s">
        <v>235</v>
      </c>
      <c r="C6" s="5" t="s">
        <v>236</v>
      </c>
      <c r="D6" s="5" t="s">
        <v>135</v>
      </c>
      <c r="E6" s="5">
        <v>220000</v>
      </c>
      <c r="F6" s="5">
        <v>150</v>
      </c>
      <c r="G6" s="5" t="s">
        <v>229</v>
      </c>
      <c r="H6" s="5" t="s">
        <v>237</v>
      </c>
      <c r="I6" s="5" t="s">
        <v>238</v>
      </c>
      <c r="N6" s="37" t="s">
        <v>252</v>
      </c>
    </row>
    <row r="7" spans="2:14">
      <c r="B7" s="5" t="s">
        <v>239</v>
      </c>
      <c r="C7" s="5" t="s">
        <v>240</v>
      </c>
      <c r="D7" s="5" t="s">
        <v>138</v>
      </c>
      <c r="E7" s="5">
        <v>40000</v>
      </c>
      <c r="F7" s="5">
        <v>30</v>
      </c>
      <c r="G7" s="5" t="s">
        <v>233</v>
      </c>
      <c r="H7" s="5" t="s">
        <v>234</v>
      </c>
      <c r="I7" s="5" t="s">
        <v>241</v>
      </c>
      <c r="M7" s="29" t="s">
        <v>253</v>
      </c>
    </row>
    <row r="8" spans="2:14">
      <c r="B8" s="5" t="s">
        <v>242</v>
      </c>
      <c r="C8" s="5" t="s">
        <v>228</v>
      </c>
      <c r="D8" s="5" t="s">
        <v>129</v>
      </c>
      <c r="E8" s="5">
        <v>150000</v>
      </c>
      <c r="F8" s="5">
        <v>90</v>
      </c>
      <c r="G8" s="5" t="s">
        <v>229</v>
      </c>
      <c r="H8" s="5" t="s">
        <v>237</v>
      </c>
      <c r="I8" s="5" t="s">
        <v>36</v>
      </c>
    </row>
    <row r="9" spans="2:14">
      <c r="B9" s="5" t="s">
        <v>243</v>
      </c>
      <c r="C9" s="5" t="s">
        <v>232</v>
      </c>
      <c r="D9" s="5" t="s">
        <v>132</v>
      </c>
      <c r="E9" s="5">
        <v>90000</v>
      </c>
      <c r="F9" s="5">
        <v>190</v>
      </c>
      <c r="G9" s="5" t="s">
        <v>233</v>
      </c>
      <c r="H9" s="5" t="s">
        <v>230</v>
      </c>
      <c r="I9" s="5" t="s">
        <v>53</v>
      </c>
      <c r="L9">
        <v>2</v>
      </c>
      <c r="M9" s="29" t="s">
        <v>249</v>
      </c>
    </row>
    <row r="10" spans="2:14">
      <c r="B10" s="5" t="s">
        <v>244</v>
      </c>
      <c r="C10" s="5" t="s">
        <v>236</v>
      </c>
      <c r="D10" s="5" t="s">
        <v>135</v>
      </c>
      <c r="E10" s="5">
        <v>250000</v>
      </c>
      <c r="F10" s="5">
        <v>365</v>
      </c>
      <c r="G10" s="5" t="s">
        <v>229</v>
      </c>
      <c r="H10" s="5" t="s">
        <v>230</v>
      </c>
      <c r="I10" s="5" t="s">
        <v>238</v>
      </c>
    </row>
    <row r="11" spans="2:14">
      <c r="B11" s="5" t="s">
        <v>245</v>
      </c>
      <c r="C11" s="5" t="s">
        <v>240</v>
      </c>
      <c r="D11" s="5" t="s">
        <v>138</v>
      </c>
      <c r="E11" s="5">
        <v>30000</v>
      </c>
      <c r="F11" s="5">
        <v>20</v>
      </c>
      <c r="G11" s="5" t="s">
        <v>233</v>
      </c>
      <c r="H11" s="5" t="s">
        <v>234</v>
      </c>
      <c r="I11" s="5" t="s">
        <v>241</v>
      </c>
      <c r="L11">
        <v>3</v>
      </c>
      <c r="M11" s="29" t="s">
        <v>254</v>
      </c>
    </row>
    <row r="12" spans="2:14">
      <c r="B12" s="5" t="s">
        <v>246</v>
      </c>
      <c r="C12" s="5" t="s">
        <v>228</v>
      </c>
      <c r="D12" s="5" t="s">
        <v>129</v>
      </c>
      <c r="E12" s="5">
        <v>100000</v>
      </c>
      <c r="F12" s="5">
        <v>120</v>
      </c>
      <c r="G12" s="5" t="s">
        <v>229</v>
      </c>
      <c r="H12" s="5" t="s">
        <v>237</v>
      </c>
      <c r="I12" s="5" t="s">
        <v>36</v>
      </c>
      <c r="M12" s="9"/>
    </row>
    <row r="13" spans="2:14">
      <c r="B13" s="5" t="s">
        <v>247</v>
      </c>
      <c r="C13" s="5" t="s">
        <v>232</v>
      </c>
      <c r="D13" s="5" t="s">
        <v>132</v>
      </c>
      <c r="E13" s="5">
        <v>60000</v>
      </c>
      <c r="F13" s="5">
        <v>10</v>
      </c>
      <c r="G13" s="5" t="s">
        <v>233</v>
      </c>
      <c r="H13" s="5" t="s">
        <v>234</v>
      </c>
      <c r="I13" s="5" t="s">
        <v>53</v>
      </c>
      <c r="M13" s="37" t="s">
        <v>255</v>
      </c>
    </row>
    <row r="14" spans="2:14">
      <c r="M14" s="37" t="s">
        <v>256</v>
      </c>
    </row>
    <row r="15" spans="2:14">
      <c r="M15" s="37" t="s">
        <v>257</v>
      </c>
    </row>
    <row r="16" spans="2:14">
      <c r="M16" s="9"/>
    </row>
    <row r="17" spans="12:13">
      <c r="L17">
        <v>4</v>
      </c>
      <c r="M17" s="29" t="s">
        <v>258</v>
      </c>
    </row>
    <row r="18" spans="12:13">
      <c r="M18" s="9"/>
    </row>
    <row r="19" spans="12:13">
      <c r="M19" s="37" t="s">
        <v>259</v>
      </c>
    </row>
    <row r="20" spans="12:13">
      <c r="M20" s="37" t="s">
        <v>260</v>
      </c>
    </row>
    <row r="21" spans="12:13">
      <c r="M21" s="29" t="s">
        <v>261</v>
      </c>
    </row>
    <row r="25" spans="12:13">
      <c r="M25" s="29"/>
    </row>
    <row r="26" spans="12:13">
      <c r="M2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LOGISTIC_FUNCTIONS</vt:lpstr>
      <vt:lpstr>Description_IF</vt:lpstr>
      <vt:lpstr>IF</vt:lpstr>
      <vt:lpstr>IF1</vt:lpstr>
      <vt:lpstr>IF2</vt:lpstr>
      <vt:lpstr>Description_IFS</vt:lpstr>
      <vt:lpstr>IFS1</vt:lpstr>
      <vt:lpstr>IFS2</vt:lpstr>
      <vt:lpstr>IFs</vt:lpstr>
      <vt:lpstr>IF&amp;AND</vt:lpstr>
      <vt:lpstr>Description_AND</vt:lpstr>
      <vt:lpstr>IF&amp;AND1</vt:lpstr>
      <vt:lpstr>IF&amp;AND2</vt:lpstr>
      <vt:lpstr>Description_OR</vt:lpstr>
      <vt:lpstr>IF&amp;OR1</vt:lpstr>
      <vt:lpstr>IF&amp;OR2</vt:lpstr>
      <vt:lpstr>IF&amp;OR3</vt:lpstr>
      <vt:lpstr>EXCERCISE1</vt:lpstr>
      <vt:lpstr>EXCERCISE2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muhammed aflah</cp:lastModifiedBy>
  <dcterms:created xsi:type="dcterms:W3CDTF">2024-12-20T04:53:00Z</dcterms:created>
  <dcterms:modified xsi:type="dcterms:W3CDTF">2026-07-10T05:21:30Z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CD7EA2F2796F430495E85C73A677A05A_11</vt:lpwstr>
  </property>
  <property fmtid="{D5CDD505-2E9C-101B-9397-08002B2CF9AE}" pid="3" name="KSOProductBuildVer">
    <vt:lpwstr>1033-12.2.0.18639</vt:lpwstr>
  </property>
</Properties>
</file>